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9_{3281BF77-06D9-4C6E-AD20-F02E93415B92}" xr6:coauthVersionLast="47" xr6:coauthVersionMax="47" xr10:uidLastSave="{00000000-0000-0000-0000-000000000000}"/>
  <bookViews>
    <workbookView xWindow="-108" yWindow="-108" windowWidth="23256" windowHeight="12456" firstSheet="1" activeTab="6" xr2:uid="{E2B82713-17B4-4FA0-BB70-37B429C1BD2F}"/>
  </bookViews>
  <sheets>
    <sheet name="Sheet1" sheetId="2" r:id="rId1"/>
    <sheet name="Sheet2" sheetId="3" r:id="rId2"/>
    <sheet name="Sheet3" sheetId="4" r:id="rId3"/>
    <sheet name="Sheet5" sheetId="6" r:id="rId4"/>
    <sheet name="Sheet6" sheetId="7" r:id="rId5"/>
    <sheet name="Sheet8" sheetId="9" r:id="rId6"/>
    <sheet name="dashboard" sheetId="8" r:id="rId7"/>
    <sheet name="Amazon_cleaned" sheetId="1" r:id="rId8"/>
  </sheets>
  <definedNames>
    <definedName name="NativeTimeline_OrderDate">#N/A</definedName>
    <definedName name="Slicer_Brand">#N/A</definedName>
    <definedName name="Slicer_Category">#N/A</definedName>
    <definedName name="Slicer_Country">#N/A</definedName>
  </definedNames>
  <calcPr calcId="0"/>
  <pivotCaches>
    <pivotCache cacheId="1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Y7" i="8" l="1"/>
  <c r="Y5" i="8"/>
  <c r="Y3" i="8"/>
</calcChain>
</file>

<file path=xl/sharedStrings.xml><?xml version="1.0" encoding="utf-8"?>
<sst xmlns="http://schemas.openxmlformats.org/spreadsheetml/2006/main" count="3332" uniqueCount="1082">
  <si>
    <t>OrderID</t>
  </si>
  <si>
    <t>OrderDate</t>
  </si>
  <si>
    <t>CustomerID</t>
  </si>
  <si>
    <t>CustomerName</t>
  </si>
  <si>
    <t>ProductID</t>
  </si>
  <si>
    <t>ProductName</t>
  </si>
  <si>
    <t>Category</t>
  </si>
  <si>
    <t>Brand</t>
  </si>
  <si>
    <t>Quantity</t>
  </si>
  <si>
    <t>UnitPrice</t>
  </si>
  <si>
    <t>Discount</t>
  </si>
  <si>
    <t>Tax</t>
  </si>
  <si>
    <t>ShippingCost</t>
  </si>
  <si>
    <t>TotalAmount</t>
  </si>
  <si>
    <t>PaymentMethod</t>
  </si>
  <si>
    <t>OrderStatus</t>
  </si>
  <si>
    <t>City</t>
  </si>
  <si>
    <t>State</t>
  </si>
  <si>
    <t>Country</t>
  </si>
  <si>
    <t>SellerID</t>
  </si>
  <si>
    <t>ORD0000001</t>
  </si>
  <si>
    <t>CUST001504</t>
  </si>
  <si>
    <t>Vihaan Sharma</t>
  </si>
  <si>
    <t>P00014</t>
  </si>
  <si>
    <t>Drone Mini</t>
  </si>
  <si>
    <t>Books</t>
  </si>
  <si>
    <t>BrightLux</t>
  </si>
  <si>
    <t>Debit Card</t>
  </si>
  <si>
    <t>Delivered</t>
  </si>
  <si>
    <t>Washington</t>
  </si>
  <si>
    <t>DC</t>
  </si>
  <si>
    <t>India</t>
  </si>
  <si>
    <t>SELL01967</t>
  </si>
  <si>
    <t>ORD0000002</t>
  </si>
  <si>
    <t>CUST000178</t>
  </si>
  <si>
    <t>Pooja Kumar</t>
  </si>
  <si>
    <t>P00040</t>
  </si>
  <si>
    <t>Microphone</t>
  </si>
  <si>
    <t>Home &amp; Kitchen</t>
  </si>
  <si>
    <t>UrbanStyle</t>
  </si>
  <si>
    <t>Amazon Pay</t>
  </si>
  <si>
    <t>Fort Worth</t>
  </si>
  <si>
    <t>TX</t>
  </si>
  <si>
    <t>United States</t>
  </si>
  <si>
    <t>SELL01298</t>
  </si>
  <si>
    <t>ORD0000003</t>
  </si>
  <si>
    <t>CUST047516</t>
  </si>
  <si>
    <t>Sneha Singh</t>
  </si>
  <si>
    <t>P00044</t>
  </si>
  <si>
    <t>Power Bank 20000mAh</t>
  </si>
  <si>
    <t>Clothing</t>
  </si>
  <si>
    <t>Austin</t>
  </si>
  <si>
    <t>SELL00908</t>
  </si>
  <si>
    <t>ORD0000004</t>
  </si>
  <si>
    <t>CUST030059</t>
  </si>
  <si>
    <t>Vihaan Reddy</t>
  </si>
  <si>
    <t>P00041</t>
  </si>
  <si>
    <t>Webcam Full HD</t>
  </si>
  <si>
    <t>Zenith</t>
  </si>
  <si>
    <t>Cash on Delivery</t>
  </si>
  <si>
    <t>Charlotte</t>
  </si>
  <si>
    <t>NC</t>
  </si>
  <si>
    <t>SELL01164</t>
  </si>
  <si>
    <t>ORD0000005</t>
  </si>
  <si>
    <t>CUST048677</t>
  </si>
  <si>
    <t>Aditya Kapoor</t>
  </si>
  <si>
    <t>P00029</t>
  </si>
  <si>
    <t>T-Shirt</t>
  </si>
  <si>
    <t>KiddoFun</t>
  </si>
  <si>
    <t>Credit Card</t>
  </si>
  <si>
    <t>Cancelled</t>
  </si>
  <si>
    <t>San Antonio</t>
  </si>
  <si>
    <t>Canada</t>
  </si>
  <si>
    <t>SELL01411</t>
  </si>
  <si>
    <t>ORD0000006</t>
  </si>
  <si>
    <t>CUST042705</t>
  </si>
  <si>
    <t>Karan Sharma</t>
  </si>
  <si>
    <t>P00023</t>
  </si>
  <si>
    <t>Cookware Set</t>
  </si>
  <si>
    <t>ReadMore</t>
  </si>
  <si>
    <t>UPI</t>
  </si>
  <si>
    <t>Los Angeles</t>
  </si>
  <si>
    <t>CA</t>
  </si>
  <si>
    <t>SELL01494</t>
  </si>
  <si>
    <t>ORD0000007</t>
  </si>
  <si>
    <t>CUST037667</t>
  </si>
  <si>
    <t>Aarav Verma</t>
  </si>
  <si>
    <t>P00030</t>
  </si>
  <si>
    <t>Dress Shirt</t>
  </si>
  <si>
    <t>Chicago</t>
  </si>
  <si>
    <t>IL</t>
  </si>
  <si>
    <t>Australia</t>
  </si>
  <si>
    <t>SELL01676</t>
  </si>
  <si>
    <t>ORD0000008</t>
  </si>
  <si>
    <t>CUST031165</t>
  </si>
  <si>
    <t>Rohit Kumar</t>
  </si>
  <si>
    <t>P00028</t>
  </si>
  <si>
    <t>Jeans</t>
  </si>
  <si>
    <t>Toys &amp; Games</t>
  </si>
  <si>
    <t>Pending</t>
  </si>
  <si>
    <t>Denver</t>
  </si>
  <si>
    <t>CO</t>
  </si>
  <si>
    <t>SELL00510</t>
  </si>
  <si>
    <t>ORD0000009</t>
  </si>
  <si>
    <t>CUST026965</t>
  </si>
  <si>
    <t>Aman Kapoor</t>
  </si>
  <si>
    <t>P00031</t>
  </si>
  <si>
    <t>Kids Toy Car</t>
  </si>
  <si>
    <t>Sports &amp; Outdoors</t>
  </si>
  <si>
    <t>Apex</t>
  </si>
  <si>
    <t>SELL01895</t>
  </si>
  <si>
    <t>ORD0000010</t>
  </si>
  <si>
    <t>CUST029472</t>
  </si>
  <si>
    <t>Aarav Reddy</t>
  </si>
  <si>
    <t>P00001</t>
  </si>
  <si>
    <t>Wireless Earbuds</t>
  </si>
  <si>
    <t>Houston</t>
  </si>
  <si>
    <t>SELL01584</t>
  </si>
  <si>
    <t>ORD0000011</t>
  </si>
  <si>
    <t>CUST005346</t>
  </si>
  <si>
    <t>Rohit Reddy</t>
  </si>
  <si>
    <t>P00046</t>
  </si>
  <si>
    <t>Car Charger</t>
  </si>
  <si>
    <t>HomeEase</t>
  </si>
  <si>
    <t>Jacksonville</t>
  </si>
  <si>
    <t>FL</t>
  </si>
  <si>
    <t>SELL01217</t>
  </si>
  <si>
    <t>ORD0000012</t>
  </si>
  <si>
    <t>CUST046088</t>
  </si>
  <si>
    <t>Karan Kumar</t>
  </si>
  <si>
    <t>P00042</t>
  </si>
  <si>
    <t>Projector Mini</t>
  </si>
  <si>
    <t>Shipped</t>
  </si>
  <si>
    <t>SELL01160</t>
  </si>
  <si>
    <t>ORD0000013</t>
  </si>
  <si>
    <t>CUST026576</t>
  </si>
  <si>
    <t>Simran Kapoor</t>
  </si>
  <si>
    <t>P00018</t>
  </si>
  <si>
    <t>Vacuum Cleaner</t>
  </si>
  <si>
    <t>New York</t>
  </si>
  <si>
    <t>NY</t>
  </si>
  <si>
    <t>SELL00719</t>
  </si>
  <si>
    <t>ORD0000014</t>
  </si>
  <si>
    <t>CUST006051</t>
  </si>
  <si>
    <t>Pooja Sharma</t>
  </si>
  <si>
    <t>Seattle</t>
  </si>
  <si>
    <t>WA</t>
  </si>
  <si>
    <t>SELL00672</t>
  </si>
  <si>
    <t>ORD0000015</t>
  </si>
  <si>
    <t>CUST025111</t>
  </si>
  <si>
    <t>Mohit Mehta</t>
  </si>
  <si>
    <t>P00035</t>
  </si>
  <si>
    <t>Desk Plant</t>
  </si>
  <si>
    <t>Net Banking</t>
  </si>
  <si>
    <t>Indianapolis</t>
  </si>
  <si>
    <t>IN</t>
  </si>
  <si>
    <t>SELL01541</t>
  </si>
  <si>
    <t>ORD0000016</t>
  </si>
  <si>
    <t>CUST040957</t>
  </si>
  <si>
    <t>Anjali Gupta</t>
  </si>
  <si>
    <t>SELL00437</t>
  </si>
  <si>
    <t>ORD0000017</t>
  </si>
  <si>
    <t>CUST000735</t>
  </si>
  <si>
    <t>Arjun Kumar</t>
  </si>
  <si>
    <t>P00025</t>
  </si>
  <si>
    <t>Running Shoes</t>
  </si>
  <si>
    <t>Philadelphia</t>
  </si>
  <si>
    <t>PA</t>
  </si>
  <si>
    <t>SELL01971</t>
  </si>
  <si>
    <t>ORD0000018</t>
  </si>
  <si>
    <t>CUST038237</t>
  </si>
  <si>
    <t>Anjali Verma</t>
  </si>
  <si>
    <t>P00039</t>
  </si>
  <si>
    <t>Graphic Tablet</t>
  </si>
  <si>
    <t>SELL00132</t>
  </si>
  <si>
    <t>ORD0000019</t>
  </si>
  <si>
    <t>CUST040211</t>
  </si>
  <si>
    <t>Aditya Mehta</t>
  </si>
  <si>
    <t>P00033</t>
  </si>
  <si>
    <t>Puzzle 1000pc</t>
  </si>
  <si>
    <t>Electronics</t>
  </si>
  <si>
    <t>Returned</t>
  </si>
  <si>
    <t>Phoenix</t>
  </si>
  <si>
    <t>AZ</t>
  </si>
  <si>
    <t>SELL01907</t>
  </si>
  <si>
    <t>ORD0000020</t>
  </si>
  <si>
    <t>CUST046893</t>
  </si>
  <si>
    <t>Vihaan Patel</t>
  </si>
  <si>
    <t>San Diego</t>
  </si>
  <si>
    <t>SELL00881</t>
  </si>
  <si>
    <t>ORD0000021</t>
  </si>
  <si>
    <t>CUST041508</t>
  </si>
  <si>
    <t>Vikas Kapoor</t>
  </si>
  <si>
    <t>SELL01947</t>
  </si>
  <si>
    <t>ORD0000022</t>
  </si>
  <si>
    <t>CUST048817</t>
  </si>
  <si>
    <t>P00010</t>
  </si>
  <si>
    <t>Smartwatch</t>
  </si>
  <si>
    <t>SELL01672</t>
  </si>
  <si>
    <t>ORD0000023</t>
  </si>
  <si>
    <t>CUST048828</t>
  </si>
  <si>
    <t>Simran Reddy</t>
  </si>
  <si>
    <t>P00003</t>
  </si>
  <si>
    <t>Smartphone Case</t>
  </si>
  <si>
    <t>SELL01102</t>
  </si>
  <si>
    <t>ORD0000024</t>
  </si>
  <si>
    <t>CUST033080</t>
  </si>
  <si>
    <t>Vihaan Mehta</t>
  </si>
  <si>
    <t>P00021</t>
  </si>
  <si>
    <t>Backpack</t>
  </si>
  <si>
    <t>Dallas</t>
  </si>
  <si>
    <t>SELL01507</t>
  </si>
  <si>
    <t>ORD0000025</t>
  </si>
  <si>
    <t>CUST041929</t>
  </si>
  <si>
    <t>Aditya Reddy</t>
  </si>
  <si>
    <t>P00008</t>
  </si>
  <si>
    <t>4K Monitor</t>
  </si>
  <si>
    <t>SELL01553</t>
  </si>
  <si>
    <t>ORD0000026</t>
  </si>
  <si>
    <t>CUST035043</t>
  </si>
  <si>
    <t>Priya Kapoor</t>
  </si>
  <si>
    <t>Columbus</t>
  </si>
  <si>
    <t>OH</t>
  </si>
  <si>
    <t>SELL00342</t>
  </si>
  <si>
    <t>ORD0000027</t>
  </si>
  <si>
    <t>CUST043777</t>
  </si>
  <si>
    <t>P00036</t>
  </si>
  <si>
    <t>Smart Light Bulb</t>
  </si>
  <si>
    <t>San Francisco</t>
  </si>
  <si>
    <t>SELL01129</t>
  </si>
  <si>
    <t>ORD0000028</t>
  </si>
  <si>
    <t>CUST037985</t>
  </si>
  <si>
    <t>Rohit Verma</t>
  </si>
  <si>
    <t>P00019</t>
  </si>
  <si>
    <t>LED Desk Lamp</t>
  </si>
  <si>
    <t>United Kingdom</t>
  </si>
  <si>
    <t>SELL01796</t>
  </si>
  <si>
    <t>ORD0000029</t>
  </si>
  <si>
    <t>CUST000721</t>
  </si>
  <si>
    <t>Vivaan Kumar</t>
  </si>
  <si>
    <t>SELL01715</t>
  </si>
  <si>
    <t>ORD0000030</t>
  </si>
  <si>
    <t>CUST008013</t>
  </si>
  <si>
    <t>Priya Verma</t>
  </si>
  <si>
    <t>P00045</t>
  </si>
  <si>
    <t>Phone Tripod</t>
  </si>
  <si>
    <t>SELL00874</t>
  </si>
  <si>
    <t>ORD0000031</t>
  </si>
  <si>
    <t>CUST018693</t>
  </si>
  <si>
    <t>Sneha Verma</t>
  </si>
  <si>
    <t>SELL01318</t>
  </si>
  <si>
    <t>ORD0000032</t>
  </si>
  <si>
    <t>CUST044089</t>
  </si>
  <si>
    <t>Sunita Gupta</t>
  </si>
  <si>
    <t>P00006</t>
  </si>
  <si>
    <t>Gaming Mouse</t>
  </si>
  <si>
    <t>FitLife</t>
  </si>
  <si>
    <t>SELL00384</t>
  </si>
  <si>
    <t>ORD0000033</t>
  </si>
  <si>
    <t>CUST011946</t>
  </si>
  <si>
    <t>Simran Patel</t>
  </si>
  <si>
    <t>P00047</t>
  </si>
  <si>
    <t>Memory Card 128GB</t>
  </si>
  <si>
    <t>CoreTech</t>
  </si>
  <si>
    <t>SELL01798</t>
  </si>
  <si>
    <t>ORD0000034</t>
  </si>
  <si>
    <t>CUST049225</t>
  </si>
  <si>
    <t>Mohit Patel</t>
  </si>
  <si>
    <t>SELL00219</t>
  </si>
  <si>
    <t>ORD0000035</t>
  </si>
  <si>
    <t>CUST048518</t>
  </si>
  <si>
    <t>Vikas Kumar</t>
  </si>
  <si>
    <t>SELL01619</t>
  </si>
  <si>
    <t>ORD0000036</t>
  </si>
  <si>
    <t>CUST047957</t>
  </si>
  <si>
    <t>Pooja Verma</t>
  </si>
  <si>
    <t>SELL01592</t>
  </si>
  <si>
    <t>ORD0000037</t>
  </si>
  <si>
    <t>CUST043577</t>
  </si>
  <si>
    <t>Kabir Singh</t>
  </si>
  <si>
    <t>P00032</t>
  </si>
  <si>
    <t>Board Game</t>
  </si>
  <si>
    <t>SELL00755</t>
  </si>
  <si>
    <t>ORD0000038</t>
  </si>
  <si>
    <t>CUST029566</t>
  </si>
  <si>
    <t>Sahil Kumar</t>
  </si>
  <si>
    <t>P00015</t>
  </si>
  <si>
    <t>Instant Pot</t>
  </si>
  <si>
    <t>SELL01262</t>
  </si>
  <si>
    <t>ORD0000039</t>
  </si>
  <si>
    <t>CUST004199</t>
  </si>
  <si>
    <t>Mohit Joshi</t>
  </si>
  <si>
    <t>SELL00566</t>
  </si>
  <si>
    <t>ORD0000040</t>
  </si>
  <si>
    <t>CUST042096</t>
  </si>
  <si>
    <t>SELL01049</t>
  </si>
  <si>
    <t>ORD0000041</t>
  </si>
  <si>
    <t>CUST017203</t>
  </si>
  <si>
    <t>SELL00369</t>
  </si>
  <si>
    <t>ORD0000042</t>
  </si>
  <si>
    <t>CUST046853</t>
  </si>
  <si>
    <t>Anjali Sharma</t>
  </si>
  <si>
    <t>P00022</t>
  </si>
  <si>
    <t>Water Bottle</t>
  </si>
  <si>
    <t>SELL01983</t>
  </si>
  <si>
    <t>ORD0000043</t>
  </si>
  <si>
    <t>CUST020850</t>
  </si>
  <si>
    <t>Sneha Sharma</t>
  </si>
  <si>
    <t>SELL00959</t>
  </si>
  <si>
    <t>ORD0000044</t>
  </si>
  <si>
    <t>CUST039744</t>
  </si>
  <si>
    <t>Anjali Mehta</t>
  </si>
  <si>
    <t>SELL00076</t>
  </si>
  <si>
    <t>ORD0000045</t>
  </si>
  <si>
    <t>CUST017434</t>
  </si>
  <si>
    <t>SELL00898</t>
  </si>
  <si>
    <t>ORD0000046</t>
  </si>
  <si>
    <t>CUST045893</t>
  </si>
  <si>
    <t>Rohit Kapoor</t>
  </si>
  <si>
    <t>P00009</t>
  </si>
  <si>
    <t>Portable SSD 1TB</t>
  </si>
  <si>
    <t>SELL00181</t>
  </si>
  <si>
    <t>ORD0000047</t>
  </si>
  <si>
    <t>CUST033696</t>
  </si>
  <si>
    <t>Anjali Kumar</t>
  </si>
  <si>
    <t>SELL01805</t>
  </si>
  <si>
    <t>ORD0000048</t>
  </si>
  <si>
    <t>CUST032008</t>
  </si>
  <si>
    <t>Neha Mehta</t>
  </si>
  <si>
    <t>SELL00438</t>
  </si>
  <si>
    <t>ORD0000049</t>
  </si>
  <si>
    <t>CUST011785</t>
  </si>
  <si>
    <t>Simran Singh</t>
  </si>
  <si>
    <t>SELL01660</t>
  </si>
  <si>
    <t>ORD0000050</t>
  </si>
  <si>
    <t>CUST001846</t>
  </si>
  <si>
    <t>Pooja Singh</t>
  </si>
  <si>
    <t>P00012</t>
  </si>
  <si>
    <t>Noise Cancelling Headphones</t>
  </si>
  <si>
    <t>San Jose</t>
  </si>
  <si>
    <t>SELL01908</t>
  </si>
  <si>
    <t>ORD0000051</t>
  </si>
  <si>
    <t>CUST048348</t>
  </si>
  <si>
    <t>Sneha Reddy</t>
  </si>
  <si>
    <t>SELL00078</t>
  </si>
  <si>
    <t>ORD0000052</t>
  </si>
  <si>
    <t>CUST027076</t>
  </si>
  <si>
    <t>Sahil Gupta</t>
  </si>
  <si>
    <t>SELL00659</t>
  </si>
  <si>
    <t>ORD0000053</t>
  </si>
  <si>
    <t>CUST012995</t>
  </si>
  <si>
    <t>Ritika Mehta</t>
  </si>
  <si>
    <t>P00050</t>
  </si>
  <si>
    <t>Novel Bestseller</t>
  </si>
  <si>
    <t>NexPro</t>
  </si>
  <si>
    <t>SELL00962</t>
  </si>
  <si>
    <t>ORD0000054</t>
  </si>
  <si>
    <t>CUST030633</t>
  </si>
  <si>
    <t>P00049</t>
  </si>
  <si>
    <t>Children's Book</t>
  </si>
  <si>
    <t>SELL01002</t>
  </si>
  <si>
    <t>ORD0000055</t>
  </si>
  <si>
    <t>CUST013482</t>
  </si>
  <si>
    <t>ORD0000056</t>
  </si>
  <si>
    <t>CUST030091</t>
  </si>
  <si>
    <t>Arjun Reddy</t>
  </si>
  <si>
    <t>SELL01113</t>
  </si>
  <si>
    <t>ORD0000057</t>
  </si>
  <si>
    <t>CUST031856</t>
  </si>
  <si>
    <t>Neha Verma</t>
  </si>
  <si>
    <t>SELL00723</t>
  </si>
  <si>
    <t>ORD0000058</t>
  </si>
  <si>
    <t>CUST040925</t>
  </si>
  <si>
    <t>Vivaan Verma</t>
  </si>
  <si>
    <t>P00005</t>
  </si>
  <si>
    <t>Laptop Sleeve</t>
  </si>
  <si>
    <t>SELL01920</t>
  </si>
  <si>
    <t>ORD0000059</t>
  </si>
  <si>
    <t>CUST031615</t>
  </si>
  <si>
    <t>Arjun Singh</t>
  </si>
  <si>
    <t>P00016</t>
  </si>
  <si>
    <t>Air Fryer</t>
  </si>
  <si>
    <t>SELL00280</t>
  </si>
  <si>
    <t>ORD0000060</t>
  </si>
  <si>
    <t>CUST018312</t>
  </si>
  <si>
    <t>Karan Kapoor</t>
  </si>
  <si>
    <t>P00027</t>
  </si>
  <si>
    <t>Winter Jacket</t>
  </si>
  <si>
    <t>SELL00446</t>
  </si>
  <si>
    <t>ORD0000061</t>
  </si>
  <si>
    <t>CUST017070</t>
  </si>
  <si>
    <t>P00037</t>
  </si>
  <si>
    <t>Router</t>
  </si>
  <si>
    <t>SELL00106</t>
  </si>
  <si>
    <t>ORD0000062</t>
  </si>
  <si>
    <t>CUST026591</t>
  </si>
  <si>
    <t>Sunita Kapoor</t>
  </si>
  <si>
    <t>SELL00247</t>
  </si>
  <si>
    <t>ORD0000063</t>
  </si>
  <si>
    <t>CUST006724</t>
  </si>
  <si>
    <t>P00004</t>
  </si>
  <si>
    <t>USB-C Charger</t>
  </si>
  <si>
    <t>SELL00011</t>
  </si>
  <si>
    <t>ORD0000064</t>
  </si>
  <si>
    <t>CUST026258</t>
  </si>
  <si>
    <t>Pooja Reddy</t>
  </si>
  <si>
    <t>SELL01006</t>
  </si>
  <si>
    <t>ORD0000065</t>
  </si>
  <si>
    <t>CUST000139</t>
  </si>
  <si>
    <t>SELL01242</t>
  </si>
  <si>
    <t>ORD0000066</t>
  </si>
  <si>
    <t>CUST038107</t>
  </si>
  <si>
    <t>SELL01704</t>
  </si>
  <si>
    <t>ORD0000067</t>
  </si>
  <si>
    <t>CUST015763</t>
  </si>
  <si>
    <t>SELL01548</t>
  </si>
  <si>
    <t>ORD0000068</t>
  </si>
  <si>
    <t>CUST041458</t>
  </si>
  <si>
    <t>Priya Mehta</t>
  </si>
  <si>
    <t>SELL00532</t>
  </si>
  <si>
    <t>ORD0000069</t>
  </si>
  <si>
    <t>CUST033817</t>
  </si>
  <si>
    <t>SELL01811</t>
  </si>
  <si>
    <t>ORD0000070</t>
  </si>
  <si>
    <t>CUST041366</t>
  </si>
  <si>
    <t>Aarav Gupta</t>
  </si>
  <si>
    <t>SELL01501</t>
  </si>
  <si>
    <t>ORD0000071</t>
  </si>
  <si>
    <t>CUST005372</t>
  </si>
  <si>
    <t>Aman Singh</t>
  </si>
  <si>
    <t>SELL01168</t>
  </si>
  <si>
    <t>ORD0000072</t>
  </si>
  <si>
    <t>CUST018135</t>
  </si>
  <si>
    <t>Aman Verma</t>
  </si>
  <si>
    <t>P00011</t>
  </si>
  <si>
    <t>Fitness Band</t>
  </si>
  <si>
    <t>SELL01780</t>
  </si>
  <si>
    <t>ORD0000073</t>
  </si>
  <si>
    <t>CUST043454</t>
  </si>
  <si>
    <t>Priya Reddy</t>
  </si>
  <si>
    <t>SELL00749</t>
  </si>
  <si>
    <t>ORD0000074</t>
  </si>
  <si>
    <t>CUST007050</t>
  </si>
  <si>
    <t>Kabir Kumar</t>
  </si>
  <si>
    <t>SELL00221</t>
  </si>
  <si>
    <t>ORD0000075</t>
  </si>
  <si>
    <t>CUST027444</t>
  </si>
  <si>
    <t>Arjun Patel</t>
  </si>
  <si>
    <t>SELL01964</t>
  </si>
  <si>
    <t>ORD0000076</t>
  </si>
  <si>
    <t>CUST042061</t>
  </si>
  <si>
    <t>Mohit Reddy</t>
  </si>
  <si>
    <t>SELL01119</t>
  </si>
  <si>
    <t>ORD0000077</t>
  </si>
  <si>
    <t>CUST016864</t>
  </si>
  <si>
    <t>Aman Sharma</t>
  </si>
  <si>
    <t>P00026</t>
  </si>
  <si>
    <t>Sunglasses</t>
  </si>
  <si>
    <t>SELL00376</t>
  </si>
  <si>
    <t>ORD0000078</t>
  </si>
  <si>
    <t>CUST028956</t>
  </si>
  <si>
    <t>Kabir Patel</t>
  </si>
  <si>
    <t>SELL00112</t>
  </si>
  <si>
    <t>ORD0000079</t>
  </si>
  <si>
    <t>CUST001710</t>
  </si>
  <si>
    <t>Neha Sharma</t>
  </si>
  <si>
    <t>SELL00917</t>
  </si>
  <si>
    <t>ORD0000080</t>
  </si>
  <si>
    <t>CUST023701</t>
  </si>
  <si>
    <t>P00007</t>
  </si>
  <si>
    <t>Mechanical Keyboard</t>
  </si>
  <si>
    <t>SELL01174</t>
  </si>
  <si>
    <t>ORD0000081</t>
  </si>
  <si>
    <t>CUST005263</t>
  </si>
  <si>
    <t>Priya Kumar</t>
  </si>
  <si>
    <t>SELL00371</t>
  </si>
  <si>
    <t>ORD0000082</t>
  </si>
  <si>
    <t>CUST014979</t>
  </si>
  <si>
    <t>SELL00077</t>
  </si>
  <si>
    <t>ORD0000083</t>
  </si>
  <si>
    <t>CUST038225</t>
  </si>
  <si>
    <t>Ritika Verma</t>
  </si>
  <si>
    <t>SELL01872</t>
  </si>
  <si>
    <t>ORD0000084</t>
  </si>
  <si>
    <t>CUST028769</t>
  </si>
  <si>
    <t>Aditya Joshi</t>
  </si>
  <si>
    <t>SELL00198</t>
  </si>
  <si>
    <t>ORD0000085</t>
  </si>
  <si>
    <t>CUST049605</t>
  </si>
  <si>
    <t>SELL00087</t>
  </si>
  <si>
    <t>ORD0000086</t>
  </si>
  <si>
    <t>CUST015624</t>
  </si>
  <si>
    <t>P00017</t>
  </si>
  <si>
    <t>Electric Kettle</t>
  </si>
  <si>
    <t>SELL01618</t>
  </si>
  <si>
    <t>ORD0000087</t>
  </si>
  <si>
    <t>CUST026490</t>
  </si>
  <si>
    <t>Neha Reddy</t>
  </si>
  <si>
    <t>SELL01735</t>
  </si>
  <si>
    <t>ORD0000088</t>
  </si>
  <si>
    <t>CUST001370</t>
  </si>
  <si>
    <t>Mohit Gupta</t>
  </si>
  <si>
    <t>SELL01951</t>
  </si>
  <si>
    <t>ORD0000089</t>
  </si>
  <si>
    <t>CUST043394</t>
  </si>
  <si>
    <t>SELL00041</t>
  </si>
  <si>
    <t>ORD0000090</t>
  </si>
  <si>
    <t>CUST039077</t>
  </si>
  <si>
    <t>SELL00271</t>
  </si>
  <si>
    <t>ORD0000091</t>
  </si>
  <si>
    <t>CUST007564</t>
  </si>
  <si>
    <t>SELL00155</t>
  </si>
  <si>
    <t>ORD0000092</t>
  </si>
  <si>
    <t>CUST033299</t>
  </si>
  <si>
    <t>ORD0000093</t>
  </si>
  <si>
    <t>CUST039707</t>
  </si>
  <si>
    <t>Vikas Joshi</t>
  </si>
  <si>
    <t>SELL00861</t>
  </si>
  <si>
    <t>ORD0000094</t>
  </si>
  <si>
    <t>CUST043458</t>
  </si>
  <si>
    <t>Aman Joshi</t>
  </si>
  <si>
    <t>P00048</t>
  </si>
  <si>
    <t>Wireless Charger</t>
  </si>
  <si>
    <t>SELL00572</t>
  </si>
  <si>
    <t>ORD0000095</t>
  </si>
  <si>
    <t>CUST001552</t>
  </si>
  <si>
    <t>Vihaan Kumar</t>
  </si>
  <si>
    <t>SELL01732</t>
  </si>
  <si>
    <t>ORD0000096</t>
  </si>
  <si>
    <t>CUST039426</t>
  </si>
  <si>
    <t>P00043</t>
  </si>
  <si>
    <t>HDMI Cable 2m</t>
  </si>
  <si>
    <t>SELL01461</t>
  </si>
  <si>
    <t>ORD0000097</t>
  </si>
  <si>
    <t>CUST049557</t>
  </si>
  <si>
    <t>SELL00108</t>
  </si>
  <si>
    <t>ORD0000098</t>
  </si>
  <si>
    <t>CUST033386</t>
  </si>
  <si>
    <t>Ritika Reddy</t>
  </si>
  <si>
    <t>SELL01544</t>
  </si>
  <si>
    <t>ORD0000099</t>
  </si>
  <si>
    <t>CUST018449</t>
  </si>
  <si>
    <t>Sneha Kapoor</t>
  </si>
  <si>
    <t>SELL00992</t>
  </si>
  <si>
    <t>ORD0000100</t>
  </si>
  <si>
    <t>CUST012492</t>
  </si>
  <si>
    <t>SELL00337</t>
  </si>
  <si>
    <t>ORD0000101</t>
  </si>
  <si>
    <t>CUST015367</t>
  </si>
  <si>
    <t>Aditya Sharma</t>
  </si>
  <si>
    <t>ORD0000102</t>
  </si>
  <si>
    <t>CUST009929</t>
  </si>
  <si>
    <t>SELL00848</t>
  </si>
  <si>
    <t>ORD0000103</t>
  </si>
  <si>
    <t>CUST030254</t>
  </si>
  <si>
    <t>Vivaan Patel</t>
  </si>
  <si>
    <t>SELL00127</t>
  </si>
  <si>
    <t>ORD0000104</t>
  </si>
  <si>
    <t>CUST041994</t>
  </si>
  <si>
    <t>SELL00607</t>
  </si>
  <si>
    <t>ORD0000105</t>
  </si>
  <si>
    <t>CUST034561</t>
  </si>
  <si>
    <t>Sneha Gupta</t>
  </si>
  <si>
    <t>SELL01742</t>
  </si>
  <si>
    <t>ORD0000106</t>
  </si>
  <si>
    <t>CUST028297</t>
  </si>
  <si>
    <t>Neha Kumar</t>
  </si>
  <si>
    <t>SELL00553</t>
  </si>
  <si>
    <t>ORD0000107</t>
  </si>
  <si>
    <t>CUST002237</t>
  </si>
  <si>
    <t>Sahil Singh</t>
  </si>
  <si>
    <t>ORD0000108</t>
  </si>
  <si>
    <t>CUST007600</t>
  </si>
  <si>
    <t>Ritika Kapoor</t>
  </si>
  <si>
    <t>P00034</t>
  </si>
  <si>
    <t>Desk Organizer</t>
  </si>
  <si>
    <t>SELL01189</t>
  </si>
  <si>
    <t>ORD0000109</t>
  </si>
  <si>
    <t>CUST010526</t>
  </si>
  <si>
    <t>SELL01545</t>
  </si>
  <si>
    <t>ORD0000110</t>
  </si>
  <si>
    <t>CUST024904</t>
  </si>
  <si>
    <t>SELL00617</t>
  </si>
  <si>
    <t>ORD0000111</t>
  </si>
  <si>
    <t>CUST033463</t>
  </si>
  <si>
    <t>SELL01848</t>
  </si>
  <si>
    <t>ORD0000112</t>
  </si>
  <si>
    <t>CUST015883</t>
  </si>
  <si>
    <t>SELL01322</t>
  </si>
  <si>
    <t>ORD0000113</t>
  </si>
  <si>
    <t>CUST035697</t>
  </si>
  <si>
    <t>Vikas Mehta</t>
  </si>
  <si>
    <t>P00024</t>
  </si>
  <si>
    <t>Yoga Mat</t>
  </si>
  <si>
    <t>SELL00915</t>
  </si>
  <si>
    <t>ORD0000114</t>
  </si>
  <si>
    <t>CUST010676</t>
  </si>
  <si>
    <t>Karan Joshi</t>
  </si>
  <si>
    <t>SELL01203</t>
  </si>
  <si>
    <t>ORD0000115</t>
  </si>
  <si>
    <t>CUST037855</t>
  </si>
  <si>
    <t>SELL01649</t>
  </si>
  <si>
    <t>ORD0000116</t>
  </si>
  <si>
    <t>CUST013803</t>
  </si>
  <si>
    <t>Vivaan Mehta</t>
  </si>
  <si>
    <t>SELL01188</t>
  </si>
  <si>
    <t>ORD0000117</t>
  </si>
  <si>
    <t>CUST041291</t>
  </si>
  <si>
    <t>SELL01963</t>
  </si>
  <si>
    <t>ORD0000118</t>
  </si>
  <si>
    <t>CUST025351</t>
  </si>
  <si>
    <t>Sneha Kumar</t>
  </si>
  <si>
    <t>ORD0000119</t>
  </si>
  <si>
    <t>CUST023478</t>
  </si>
  <si>
    <t>SELL01044</t>
  </si>
  <si>
    <t>ORD0000120</t>
  </si>
  <si>
    <t>CUST029783</t>
  </si>
  <si>
    <t>SELL01527</t>
  </si>
  <si>
    <t>ORD0000121</t>
  </si>
  <si>
    <t>CUST001056</t>
  </si>
  <si>
    <t>Karan Singh</t>
  </si>
  <si>
    <t>SELL01639</t>
  </si>
  <si>
    <t>ORD0000122</t>
  </si>
  <si>
    <t>CUST026942</t>
  </si>
  <si>
    <t>Pooja Joshi</t>
  </si>
  <si>
    <t>SELL00632</t>
  </si>
  <si>
    <t>ORD0000123</t>
  </si>
  <si>
    <t>CUST027791</t>
  </si>
  <si>
    <t>SELL00745</t>
  </si>
  <si>
    <t>ORD0000124</t>
  </si>
  <si>
    <t>CUST019410</t>
  </si>
  <si>
    <t>SELL00146</t>
  </si>
  <si>
    <t>ORD0000125</t>
  </si>
  <si>
    <t>CUST009308</t>
  </si>
  <si>
    <t>SELL00770</t>
  </si>
  <si>
    <t>ORD0000126</t>
  </si>
  <si>
    <t>CUST004285</t>
  </si>
  <si>
    <t>Sahil Sharma</t>
  </si>
  <si>
    <t>SELL01530</t>
  </si>
  <si>
    <t>ORD0000127</t>
  </si>
  <si>
    <t>CUST037966</t>
  </si>
  <si>
    <t>Aditya Kumar</t>
  </si>
  <si>
    <t>SELL01372</t>
  </si>
  <si>
    <t>ORD0000128</t>
  </si>
  <si>
    <t>CUST025421</t>
  </si>
  <si>
    <t>SELL01574</t>
  </si>
  <si>
    <t>ORD0000129</t>
  </si>
  <si>
    <t>CUST039352</t>
  </si>
  <si>
    <t>Neha Joshi</t>
  </si>
  <si>
    <t>SELL00583</t>
  </si>
  <si>
    <t>ORD0000130</t>
  </si>
  <si>
    <t>CUST032886</t>
  </si>
  <si>
    <t>Rohit Mehta</t>
  </si>
  <si>
    <t>SELL00736</t>
  </si>
  <si>
    <t>ORD0000131</t>
  </si>
  <si>
    <t>CUST014360</t>
  </si>
  <si>
    <t>Vivaan Singh</t>
  </si>
  <si>
    <t>SELL01332</t>
  </si>
  <si>
    <t>ORD0000132</t>
  </si>
  <si>
    <t>CUST007708</t>
  </si>
  <si>
    <t>Sunita Sharma</t>
  </si>
  <si>
    <t>SELL00248</t>
  </si>
  <si>
    <t>ORD0000133</t>
  </si>
  <si>
    <t>CUST013067</t>
  </si>
  <si>
    <t>ORD0000134</t>
  </si>
  <si>
    <t>CUST046835</t>
  </si>
  <si>
    <t>Simran Gupta</t>
  </si>
  <si>
    <t>SELL01180</t>
  </si>
  <si>
    <t>ORD0000135</t>
  </si>
  <si>
    <t>CUST011228</t>
  </si>
  <si>
    <t>Karan Reddy</t>
  </si>
  <si>
    <t>SELL00715</t>
  </si>
  <si>
    <t>ORD0000136</t>
  </si>
  <si>
    <t>CUST046806</t>
  </si>
  <si>
    <t>Neha Singh</t>
  </si>
  <si>
    <t>P00013</t>
  </si>
  <si>
    <t>Action Camera</t>
  </si>
  <si>
    <t>SELL00709</t>
  </si>
  <si>
    <t>ORD0000137</t>
  </si>
  <si>
    <t>CUST014033</t>
  </si>
  <si>
    <t>Rohit Gupta</t>
  </si>
  <si>
    <t>SELL00278</t>
  </si>
  <si>
    <t>ORD0000138</t>
  </si>
  <si>
    <t>CUST040569</t>
  </si>
  <si>
    <t>Rohit Sharma</t>
  </si>
  <si>
    <t>SELL01341</t>
  </si>
  <si>
    <t>ORD0000139</t>
  </si>
  <si>
    <t>CUST041172</t>
  </si>
  <si>
    <t>SELL00699</t>
  </si>
  <si>
    <t>ORD0000140</t>
  </si>
  <si>
    <t>CUST001601</t>
  </si>
  <si>
    <t>SELL01558</t>
  </si>
  <si>
    <t>ORD0000141</t>
  </si>
  <si>
    <t>CUST046508</t>
  </si>
  <si>
    <t>Vivaan Sharma</t>
  </si>
  <si>
    <t>SELL00940</t>
  </si>
  <si>
    <t>ORD0000142</t>
  </si>
  <si>
    <t>CUST027712</t>
  </si>
  <si>
    <t>Ritika Joshi</t>
  </si>
  <si>
    <t>SELL00796</t>
  </si>
  <si>
    <t>ORD0000143</t>
  </si>
  <si>
    <t>CUST029705</t>
  </si>
  <si>
    <t>Aman Reddy</t>
  </si>
  <si>
    <t>SELL00143</t>
  </si>
  <si>
    <t>ORD0000144</t>
  </si>
  <si>
    <t>CUST008224</t>
  </si>
  <si>
    <t>Mohit Sharma</t>
  </si>
  <si>
    <t>ORD0000145</t>
  </si>
  <si>
    <t>CUST046362</t>
  </si>
  <si>
    <t>SELL00338</t>
  </si>
  <si>
    <t>ORD0000146</t>
  </si>
  <si>
    <t>CUST005950</t>
  </si>
  <si>
    <t>Mohit Verma</t>
  </si>
  <si>
    <t>SELL00864</t>
  </si>
  <si>
    <t>ORD0000147</t>
  </si>
  <si>
    <t>CUST037485</t>
  </si>
  <si>
    <t>Kabir Verma</t>
  </si>
  <si>
    <t>SELL01097</t>
  </si>
  <si>
    <t>ORD0000148</t>
  </si>
  <si>
    <t>CUST027818</t>
  </si>
  <si>
    <t>Sneha Mehta</t>
  </si>
  <si>
    <t>SELL00776</t>
  </si>
  <si>
    <t>ORD0000149</t>
  </si>
  <si>
    <t>CUST048304</t>
  </si>
  <si>
    <t>Vihaan Kapoor</t>
  </si>
  <si>
    <t>SELL00433</t>
  </si>
  <si>
    <t>ORD0000150</t>
  </si>
  <si>
    <t>CUST033670</t>
  </si>
  <si>
    <t>SELL00027</t>
  </si>
  <si>
    <t>ORD0000151</t>
  </si>
  <si>
    <t>CUST038774</t>
  </si>
  <si>
    <t>Kabir Sharma</t>
  </si>
  <si>
    <t>ORD0000152</t>
  </si>
  <si>
    <t>CUST026880</t>
  </si>
  <si>
    <t>SELL00229</t>
  </si>
  <si>
    <t>ORD0000153</t>
  </si>
  <si>
    <t>CUST044830</t>
  </si>
  <si>
    <t>SELL01889</t>
  </si>
  <si>
    <t>ORD0000154</t>
  </si>
  <si>
    <t>CUST040087</t>
  </si>
  <si>
    <t>SELL01455</t>
  </si>
  <si>
    <t>ORD0000155</t>
  </si>
  <si>
    <t>CUST026727</t>
  </si>
  <si>
    <t>SELL00945</t>
  </si>
  <si>
    <t>ORD0000156</t>
  </si>
  <si>
    <t>CUST011225</t>
  </si>
  <si>
    <t>Rohit Patel</t>
  </si>
  <si>
    <t>SELL00850</t>
  </si>
  <si>
    <t>ORD0000157</t>
  </si>
  <si>
    <t>CUST031885</t>
  </si>
  <si>
    <t>SELL01363</t>
  </si>
  <si>
    <t>ORD0000158</t>
  </si>
  <si>
    <t>CUST016025</t>
  </si>
  <si>
    <t>Sunita Singh</t>
  </si>
  <si>
    <t>SELL01573</t>
  </si>
  <si>
    <t>ORD0000159</t>
  </si>
  <si>
    <t>CUST036113</t>
  </si>
  <si>
    <t>Priya Joshi</t>
  </si>
  <si>
    <t>SELL01598</t>
  </si>
  <si>
    <t>ORD0000160</t>
  </si>
  <si>
    <t>CUST043628</t>
  </si>
  <si>
    <t>SELL00412</t>
  </si>
  <si>
    <t>ORD0000161</t>
  </si>
  <si>
    <t>CUST020507</t>
  </si>
  <si>
    <t>Aarav Joshi</t>
  </si>
  <si>
    <t>SELL00708</t>
  </si>
  <si>
    <t>ORD0000162</t>
  </si>
  <si>
    <t>CUST012422</t>
  </si>
  <si>
    <t>Kabir Kapoor</t>
  </si>
  <si>
    <t>SELL01169</t>
  </si>
  <si>
    <t>ORD0000163</t>
  </si>
  <si>
    <t>CUST009807</t>
  </si>
  <si>
    <t>Vihaan Verma</t>
  </si>
  <si>
    <t>SELL00551</t>
  </si>
  <si>
    <t>ORD0000164</t>
  </si>
  <si>
    <t>CUST048496</t>
  </si>
  <si>
    <t>SELL00141</t>
  </si>
  <si>
    <t>ORD0000165</t>
  </si>
  <si>
    <t>CUST029400</t>
  </si>
  <si>
    <t>Aman Gupta</t>
  </si>
  <si>
    <t>SELL01482</t>
  </si>
  <si>
    <t>ORD0000166</t>
  </si>
  <si>
    <t>CUST004811</t>
  </si>
  <si>
    <t>P00038</t>
  </si>
  <si>
    <t>External HDD 2TB</t>
  </si>
  <si>
    <t>SELL00910</t>
  </si>
  <si>
    <t>ORD0000167</t>
  </si>
  <si>
    <t>CUST008669</t>
  </si>
  <si>
    <t>SELL00243</t>
  </si>
  <si>
    <t>ORD0000168</t>
  </si>
  <si>
    <t>CUST035784</t>
  </si>
  <si>
    <t>Vikas Gupta</t>
  </si>
  <si>
    <t>SELL01837</t>
  </si>
  <si>
    <t>ORD0000169</t>
  </si>
  <si>
    <t>CUST027512</t>
  </si>
  <si>
    <t>SELL00878</t>
  </si>
  <si>
    <t>ORD0000170</t>
  </si>
  <si>
    <t>CUST023754</t>
  </si>
  <si>
    <t>SELL01838</t>
  </si>
  <si>
    <t>ORD0000171</t>
  </si>
  <si>
    <t>CUST011579</t>
  </si>
  <si>
    <t>Kabir Reddy</t>
  </si>
  <si>
    <t>SELL01005</t>
  </si>
  <si>
    <t>ORD0000172</t>
  </si>
  <si>
    <t>CUST003082</t>
  </si>
  <si>
    <t>SELL00319</t>
  </si>
  <si>
    <t>ORD0000173</t>
  </si>
  <si>
    <t>CUST040193</t>
  </si>
  <si>
    <t>SELL00210</t>
  </si>
  <si>
    <t>ORD0000174</t>
  </si>
  <si>
    <t>CUST014061</t>
  </si>
  <si>
    <t>Arjun Gupta</t>
  </si>
  <si>
    <t>P00020</t>
  </si>
  <si>
    <t>Office Chair</t>
  </si>
  <si>
    <t>SELL00101</t>
  </si>
  <si>
    <t>ORD0000175</t>
  </si>
  <si>
    <t>CUST028212</t>
  </si>
  <si>
    <t>SELL01555</t>
  </si>
  <si>
    <t>ORD0000176</t>
  </si>
  <si>
    <t>CUST010967</t>
  </si>
  <si>
    <t>SELL00727</t>
  </si>
  <si>
    <t>ORD0000177</t>
  </si>
  <si>
    <t>CUST022674</t>
  </si>
  <si>
    <t>Pooja Gupta</t>
  </si>
  <si>
    <t>SELL00062</t>
  </si>
  <si>
    <t>ORD0000178</t>
  </si>
  <si>
    <t>CUST048983</t>
  </si>
  <si>
    <t>SELL00530</t>
  </si>
  <si>
    <t>ORD0000179</t>
  </si>
  <si>
    <t>CUST016133</t>
  </si>
  <si>
    <t>SELL00395</t>
  </si>
  <si>
    <t>ORD0000180</t>
  </si>
  <si>
    <t>CUST044928</t>
  </si>
  <si>
    <t>SELL00811</t>
  </si>
  <si>
    <t>ORD0000181</t>
  </si>
  <si>
    <t>CUST024560</t>
  </si>
  <si>
    <t>Neha Gupta</t>
  </si>
  <si>
    <t>SELL00296</t>
  </si>
  <si>
    <t>ORD0000182</t>
  </si>
  <si>
    <t>CUST019814</t>
  </si>
  <si>
    <t>SELL01602</t>
  </si>
  <si>
    <t>ORD0000183</t>
  </si>
  <si>
    <t>CUST015222</t>
  </si>
  <si>
    <t>Karan Gupta</t>
  </si>
  <si>
    <t>SELL00166</t>
  </si>
  <si>
    <t>ORD0000184</t>
  </si>
  <si>
    <t>CUST015733</t>
  </si>
  <si>
    <t>ORD0000185</t>
  </si>
  <si>
    <t>CUST023655</t>
  </si>
  <si>
    <t>Anjali Singh</t>
  </si>
  <si>
    <t>SELL00773</t>
  </si>
  <si>
    <t>ORD0000186</t>
  </si>
  <si>
    <t>CUST021204</t>
  </si>
  <si>
    <t>SELL01469</t>
  </si>
  <si>
    <t>ORD0000187</t>
  </si>
  <si>
    <t>CUST016221</t>
  </si>
  <si>
    <t>SELL00701</t>
  </si>
  <si>
    <t>ORD0000188</t>
  </si>
  <si>
    <t>CUST036912</t>
  </si>
  <si>
    <t>SELL01658</t>
  </si>
  <si>
    <t>ORD0000189</t>
  </si>
  <si>
    <t>CUST043111</t>
  </si>
  <si>
    <t>SELL00429</t>
  </si>
  <si>
    <t>ORD0000190</t>
  </si>
  <si>
    <t>CUST034016</t>
  </si>
  <si>
    <t>Aditya Singh</t>
  </si>
  <si>
    <t>SELL01532</t>
  </si>
  <si>
    <t>ORD0000191</t>
  </si>
  <si>
    <t>CUST040748</t>
  </si>
  <si>
    <t>SELL00430</t>
  </si>
  <si>
    <t>ORD0000192</t>
  </si>
  <si>
    <t>CUST004207</t>
  </si>
  <si>
    <t>SELL00302</t>
  </si>
  <si>
    <t>ORD0000193</t>
  </si>
  <si>
    <t>CUST041282</t>
  </si>
  <si>
    <t>SELL00733</t>
  </si>
  <si>
    <t>ORD0000194</t>
  </si>
  <si>
    <t>CUST044672</t>
  </si>
  <si>
    <t>SELL00785</t>
  </si>
  <si>
    <t>ORD0000195</t>
  </si>
  <si>
    <t>CUST004859</t>
  </si>
  <si>
    <t>Vivaan Gupta</t>
  </si>
  <si>
    <t>SELL00999</t>
  </si>
  <si>
    <t>ORD0000196</t>
  </si>
  <si>
    <t>CUST007154</t>
  </si>
  <si>
    <t>Vikas Sharma</t>
  </si>
  <si>
    <t>ORD0000197</t>
  </si>
  <si>
    <t>CUST035993</t>
  </si>
  <si>
    <t>SELL00557</t>
  </si>
  <si>
    <t>ORD0000198</t>
  </si>
  <si>
    <t>CUST027565</t>
  </si>
  <si>
    <t>SELL01488</t>
  </si>
  <si>
    <t>ORD0000199</t>
  </si>
  <si>
    <t>CUST010007</t>
  </si>
  <si>
    <t>Vikas Reddy</t>
  </si>
  <si>
    <t>SELL00096</t>
  </si>
  <si>
    <t>ORD0000200</t>
  </si>
  <si>
    <t>CUST022505</t>
  </si>
  <si>
    <t>SELL01489</t>
  </si>
  <si>
    <t>ORD0000201</t>
  </si>
  <si>
    <t>CUST007081</t>
  </si>
  <si>
    <t>SELL00230</t>
  </si>
  <si>
    <t>ORD0000202</t>
  </si>
  <si>
    <t>CUST042401</t>
  </si>
  <si>
    <t>Mohit Singh</t>
  </si>
  <si>
    <t>SELL00039</t>
  </si>
  <si>
    <t>ORD0000203</t>
  </si>
  <si>
    <t>CUST040825</t>
  </si>
  <si>
    <t>SELL00154</t>
  </si>
  <si>
    <t>ORD0000204</t>
  </si>
  <si>
    <t>CUST022812</t>
  </si>
  <si>
    <t>SELL01177</t>
  </si>
  <si>
    <t>ORD0000205</t>
  </si>
  <si>
    <t>CUST029448</t>
  </si>
  <si>
    <t>SELL00122</t>
  </si>
  <si>
    <t>ORD0000206</t>
  </si>
  <si>
    <t>CUST025313</t>
  </si>
  <si>
    <t>SELL01958</t>
  </si>
  <si>
    <t>ORD0000207</t>
  </si>
  <si>
    <t>CUST029438</t>
  </si>
  <si>
    <t>SELL00705</t>
  </si>
  <si>
    <t>ORD0000208</t>
  </si>
  <si>
    <t>CUST001181</t>
  </si>
  <si>
    <t>Vivaan Joshi</t>
  </si>
  <si>
    <t>SELL01609</t>
  </si>
  <si>
    <t>ORD0000209</t>
  </si>
  <si>
    <t>CUST017264</t>
  </si>
  <si>
    <t>ORD0000210</t>
  </si>
  <si>
    <t>CUST039608</t>
  </si>
  <si>
    <t>SELL01140</t>
  </si>
  <si>
    <t>ORD0000211</t>
  </si>
  <si>
    <t>CUST019237</t>
  </si>
  <si>
    <t>SELL00479</t>
  </si>
  <si>
    <t>ORD0000212</t>
  </si>
  <si>
    <t>CUST035731</t>
  </si>
  <si>
    <t>SELL00157</t>
  </si>
  <si>
    <t>ORD0000213</t>
  </si>
  <si>
    <t>CUST012280</t>
  </si>
  <si>
    <t>SELL01375</t>
  </si>
  <si>
    <t>ORD0000214</t>
  </si>
  <si>
    <t>CUST003507</t>
  </si>
  <si>
    <t>SELL00159</t>
  </si>
  <si>
    <t>ORD0000215</t>
  </si>
  <si>
    <t>CUST023893</t>
  </si>
  <si>
    <t>Aditya Gupta</t>
  </si>
  <si>
    <t>P00002</t>
  </si>
  <si>
    <t>Bluetooth Speaker</t>
  </si>
  <si>
    <t>SELL01801</t>
  </si>
  <si>
    <t>ORD0000216</t>
  </si>
  <si>
    <t>CUST008440</t>
  </si>
  <si>
    <t>SELL00813</t>
  </si>
  <si>
    <t>ORD0000217</t>
  </si>
  <si>
    <t>CUST019363</t>
  </si>
  <si>
    <t>Sunita Reddy</t>
  </si>
  <si>
    <t>SELL01565</t>
  </si>
  <si>
    <t>ORD0000218</t>
  </si>
  <si>
    <t>CUST034266</t>
  </si>
  <si>
    <t>SELL01516</t>
  </si>
  <si>
    <t>ORD0000219</t>
  </si>
  <si>
    <t>CUST026742</t>
  </si>
  <si>
    <t>Vihaan Gupta</t>
  </si>
  <si>
    <t>SELL01863</t>
  </si>
  <si>
    <t>ORD0000220</t>
  </si>
  <si>
    <t>CUST020572</t>
  </si>
  <si>
    <t>Mohit Kapoor</t>
  </si>
  <si>
    <t>SELL01791</t>
  </si>
  <si>
    <t>ORD0000221</t>
  </si>
  <si>
    <t>CUST012246</t>
  </si>
  <si>
    <t>SELL00297</t>
  </si>
  <si>
    <t>ORD0000222</t>
  </si>
  <si>
    <t>CUST021328</t>
  </si>
  <si>
    <t>SELL00328</t>
  </si>
  <si>
    <t>ORD0000223</t>
  </si>
  <si>
    <t>CUST017932</t>
  </si>
  <si>
    <t>Karan Patel</t>
  </si>
  <si>
    <t>SELL00753</t>
  </si>
  <si>
    <t>ORD0000224</t>
  </si>
  <si>
    <t>CUST030236</t>
  </si>
  <si>
    <t>SELL00080</t>
  </si>
  <si>
    <t>ORD0000225</t>
  </si>
  <si>
    <t>CUST018375</t>
  </si>
  <si>
    <t>SELL01913</t>
  </si>
  <si>
    <t>ORD0000226</t>
  </si>
  <si>
    <t>CUST031704</t>
  </si>
  <si>
    <t>ORD0000227</t>
  </si>
  <si>
    <t>CUST003147</t>
  </si>
  <si>
    <t>Ritika Kumar</t>
  </si>
  <si>
    <t>SELL00628</t>
  </si>
  <si>
    <t>ORD0000228</t>
  </si>
  <si>
    <t>CUST014415</t>
  </si>
  <si>
    <t>SELL01713</t>
  </si>
  <si>
    <t>ORD0000229</t>
  </si>
  <si>
    <t>CUST001747</t>
  </si>
  <si>
    <t>SELL00704</t>
  </si>
  <si>
    <t>ORD0000230</t>
  </si>
  <si>
    <t>CUST031415</t>
  </si>
  <si>
    <t>SELL00905</t>
  </si>
  <si>
    <t>ORD0000231</t>
  </si>
  <si>
    <t>CUST048207</t>
  </si>
  <si>
    <t>SELL01023</t>
  </si>
  <si>
    <t>ORD0000232</t>
  </si>
  <si>
    <t>CUST019145</t>
  </si>
  <si>
    <t>Karan Verma</t>
  </si>
  <si>
    <t>SELL00212</t>
  </si>
  <si>
    <t>ORD0000233</t>
  </si>
  <si>
    <t>CUST028877</t>
  </si>
  <si>
    <t>Anjali Kapoor</t>
  </si>
  <si>
    <t>SELL00809</t>
  </si>
  <si>
    <t>ORD0000234</t>
  </si>
  <si>
    <t>CUST006962</t>
  </si>
  <si>
    <t>SELL00871</t>
  </si>
  <si>
    <t>ORD0000235</t>
  </si>
  <si>
    <t>CUST037405</t>
  </si>
  <si>
    <t>SELL00685</t>
  </si>
  <si>
    <t>ORD0000236</t>
  </si>
  <si>
    <t>CUST025402</t>
  </si>
  <si>
    <t>SELL00618</t>
  </si>
  <si>
    <t>ORD0000237</t>
  </si>
  <si>
    <t>CUST029978</t>
  </si>
  <si>
    <t>SELL00273</t>
  </si>
  <si>
    <t>ORD0000238</t>
  </si>
  <si>
    <t>CUST049175</t>
  </si>
  <si>
    <t>SELL00238</t>
  </si>
  <si>
    <t>ORD0000239</t>
  </si>
  <si>
    <t>CUST028805</t>
  </si>
  <si>
    <t>SELL01434</t>
  </si>
  <si>
    <t>ORD0000240</t>
  </si>
  <si>
    <t>CUST024635</t>
  </si>
  <si>
    <t>Karan Mehta</t>
  </si>
  <si>
    <t>SELL00311</t>
  </si>
  <si>
    <t>ORD0000241</t>
  </si>
  <si>
    <t>CUST034448</t>
  </si>
  <si>
    <t>ORD0000242</t>
  </si>
  <si>
    <t>CUST040551</t>
  </si>
  <si>
    <t>Ritika Gupta</t>
  </si>
  <si>
    <t>SELL01881</t>
  </si>
  <si>
    <t>ORD0000243</t>
  </si>
  <si>
    <t>CUST034398</t>
  </si>
  <si>
    <t>SELL01539</t>
  </si>
  <si>
    <t>ORD0000244</t>
  </si>
  <si>
    <t>CUST042901</t>
  </si>
  <si>
    <t>SELL01937</t>
  </si>
  <si>
    <t>ORD0000245</t>
  </si>
  <si>
    <t>CUST029445</t>
  </si>
  <si>
    <t>ORD0000246</t>
  </si>
  <si>
    <t>CUST039354</t>
  </si>
  <si>
    <t>SELL01817</t>
  </si>
  <si>
    <t>ORD0000247</t>
  </si>
  <si>
    <t>CUST047386</t>
  </si>
  <si>
    <t>SELL01554</t>
  </si>
  <si>
    <t>ORD0000248</t>
  </si>
  <si>
    <t>CUST014192</t>
  </si>
  <si>
    <t>Simran Joshi</t>
  </si>
  <si>
    <t>SELL01901</t>
  </si>
  <si>
    <t>ORD0000249</t>
  </si>
  <si>
    <t>CUST027774</t>
  </si>
  <si>
    <t>Simran Kumar</t>
  </si>
  <si>
    <t>SELL01387</t>
  </si>
  <si>
    <t>ORD0000250</t>
  </si>
  <si>
    <t>CUST045022</t>
  </si>
  <si>
    <t>Sum of TotalAmount</t>
  </si>
  <si>
    <t>Row Labels</t>
  </si>
  <si>
    <t>Grand Total</t>
  </si>
  <si>
    <t>Jan</t>
  </si>
  <si>
    <t>Feb</t>
  </si>
  <si>
    <t>Mar</t>
  </si>
  <si>
    <t>Apr</t>
  </si>
  <si>
    <t>May</t>
  </si>
  <si>
    <t>Jun</t>
  </si>
  <si>
    <t>Jul</t>
  </si>
  <si>
    <t>Aug</t>
  </si>
  <si>
    <t>Sep</t>
  </si>
  <si>
    <t>Oct</t>
  </si>
  <si>
    <t>Nov</t>
  </si>
  <si>
    <t>Dec</t>
  </si>
  <si>
    <t>Sum of Discount</t>
  </si>
  <si>
    <t>SUM</t>
  </si>
  <si>
    <t>Count of OrderID</t>
  </si>
  <si>
    <t>Sum of Quantity</t>
  </si>
  <si>
    <t>ORDERS</t>
  </si>
  <si>
    <t>QUA</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</si>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</sst>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36"/>
      <color theme="0" tint="-4.9989318521683403E-2"/>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7"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0" fillId="34" borderId="0" xfId="0" applyFill="1" applyAlignment="1">
      <alignment horizontal="center"/>
    </xf>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4E7A"/>
      <color rgb="FF34F0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Sheet1!$A$4:$A$10</c:f>
              <c:strCache>
                <c:ptCount val="6"/>
                <c:pt idx="0">
                  <c:v>Books</c:v>
                </c:pt>
                <c:pt idx="1">
                  <c:v>Clothing</c:v>
                </c:pt>
                <c:pt idx="2">
                  <c:v>Electronics</c:v>
                </c:pt>
                <c:pt idx="3">
                  <c:v>Home &amp; Kitchen</c:v>
                </c:pt>
                <c:pt idx="4">
                  <c:v>Sports &amp; Outdoors</c:v>
                </c:pt>
                <c:pt idx="5">
                  <c:v>Toys &amp; Games</c:v>
                </c:pt>
              </c:strCache>
            </c:strRef>
          </c:cat>
          <c:val>
            <c:numRef>
              <c:f>Sheet1!$B$4:$B$10</c:f>
              <c:numCache>
                <c:formatCode>General</c:formatCode>
                <c:ptCount val="6"/>
                <c:pt idx="0">
                  <c:v>41737.450000000012</c:v>
                </c:pt>
                <c:pt idx="1">
                  <c:v>28028.62</c:v>
                </c:pt>
                <c:pt idx="2">
                  <c:v>52042.62999999999</c:v>
                </c:pt>
                <c:pt idx="3">
                  <c:v>40516.250000000007</c:v>
                </c:pt>
                <c:pt idx="4">
                  <c:v>36091.75</c:v>
                </c:pt>
                <c:pt idx="5">
                  <c:v>43769.609999999993</c:v>
                </c:pt>
              </c:numCache>
            </c:numRef>
          </c:val>
          <c:extLst>
            <c:ext xmlns:c16="http://schemas.microsoft.com/office/drawing/2014/chart" uri="{C3380CC4-5D6E-409C-BE32-E72D297353CC}">
              <c16:uniqueId val="{00000000-B69C-4904-B379-6DB45CF2C152}"/>
            </c:ext>
          </c:extLst>
        </c:ser>
        <c:dLbls>
          <c:showLegendKey val="0"/>
          <c:showVal val="0"/>
          <c:showCatName val="0"/>
          <c:showSerName val="0"/>
          <c:showPercent val="0"/>
          <c:showBubbleSize val="0"/>
        </c:dLbls>
        <c:gapWidth val="219"/>
        <c:overlap val="-27"/>
        <c:axId val="604226464"/>
        <c:axId val="607419072"/>
      </c:barChart>
      <c:catAx>
        <c:axId val="60422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19072"/>
        <c:crosses val="autoZero"/>
        <c:auto val="1"/>
        <c:lblAlgn val="ctr"/>
        <c:lblOffset val="100"/>
        <c:noMultiLvlLbl val="0"/>
      </c:catAx>
      <c:valAx>
        <c:axId val="60741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2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Sheet2!$A$4:$A$9</c:f>
              <c:strCache>
                <c:ptCount val="5"/>
                <c:pt idx="0">
                  <c:v>AZ</c:v>
                </c:pt>
                <c:pt idx="1">
                  <c:v>CA</c:v>
                </c:pt>
                <c:pt idx="2">
                  <c:v>CO</c:v>
                </c:pt>
                <c:pt idx="3">
                  <c:v>DC</c:v>
                </c:pt>
                <c:pt idx="4">
                  <c:v>FL</c:v>
                </c:pt>
              </c:strCache>
            </c:strRef>
          </c:cat>
          <c:val>
            <c:numRef>
              <c:f>Sheet2!$B$4:$B$9</c:f>
              <c:numCache>
                <c:formatCode>General</c:formatCode>
                <c:ptCount val="5"/>
                <c:pt idx="0">
                  <c:v>17008.440000000002</c:v>
                </c:pt>
                <c:pt idx="1">
                  <c:v>42500.579999999987</c:v>
                </c:pt>
                <c:pt idx="2">
                  <c:v>16195.109999999999</c:v>
                </c:pt>
                <c:pt idx="3">
                  <c:v>9832.93</c:v>
                </c:pt>
                <c:pt idx="4">
                  <c:v>9926.44</c:v>
                </c:pt>
              </c:numCache>
            </c:numRef>
          </c:val>
          <c:smooth val="0"/>
          <c:extLst>
            <c:ext xmlns:c16="http://schemas.microsoft.com/office/drawing/2014/chart" uri="{C3380CC4-5D6E-409C-BE32-E72D297353CC}">
              <c16:uniqueId val="{00000000-4BD8-49C6-B283-4044ADC0029A}"/>
            </c:ext>
          </c:extLst>
        </c:ser>
        <c:dLbls>
          <c:showLegendKey val="0"/>
          <c:showVal val="0"/>
          <c:showCatName val="0"/>
          <c:showSerName val="0"/>
          <c:showPercent val="0"/>
          <c:showBubbleSize val="0"/>
        </c:dLbls>
        <c:smooth val="0"/>
        <c:axId val="656431600"/>
        <c:axId val="656432080"/>
      </c:lineChart>
      <c:catAx>
        <c:axId val="65643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32080"/>
        <c:crosses val="autoZero"/>
        <c:auto val="1"/>
        <c:lblAlgn val="ctr"/>
        <c:lblOffset val="100"/>
        <c:noMultiLvlLbl val="0"/>
      </c:catAx>
      <c:valAx>
        <c:axId val="65643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[Amazon_DASH.xlsx]Sheet3!PivotTable3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Sheet3!$A$4:$A$10</c:f>
              <c:strCache>
                <c:ptCount val="6"/>
                <c:pt idx="0">
                  <c:v>Amazon Pay</c:v>
                </c:pt>
                <c:pt idx="1">
                  <c:v>Cash on Delivery</c:v>
                </c:pt>
                <c:pt idx="2">
                  <c:v>Credit Card</c:v>
                </c:pt>
                <c:pt idx="3">
                  <c:v>Debit Card</c:v>
                </c:pt>
                <c:pt idx="4">
                  <c:v>Net Banking</c:v>
                </c:pt>
                <c:pt idx="5">
                  <c:v>UPI</c:v>
                </c:pt>
              </c:strCache>
            </c:strRef>
          </c:cat>
          <c:val>
            <c:numRef>
              <c:f>Sheet3!$B$4:$B$10</c:f>
              <c:numCache>
                <c:formatCode>0.00%</c:formatCode>
                <c:ptCount val="6"/>
                <c:pt idx="0">
                  <c:v>0.19600422501172754</c:v>
                </c:pt>
                <c:pt idx="1">
                  <c:v>3.9587910646146765E-2</c:v>
                </c:pt>
                <c:pt idx="2">
                  <c:v>0.31766779055347921</c:v>
                </c:pt>
                <c:pt idx="3">
                  <c:v>0.17850199707819986</c:v>
                </c:pt>
                <c:pt idx="4">
                  <c:v>9.0811862982676433E-2</c:v>
                </c:pt>
                <c:pt idx="5">
                  <c:v>0.17742621372777015</c:v>
                </c:pt>
              </c:numCache>
            </c:numRef>
          </c:val>
          <c:extLst>
            <c:ext xmlns:c16="http://schemas.microsoft.com/office/drawing/2014/chart" uri="{C3380CC4-5D6E-409C-BE32-E72D297353CC}">
              <c16:uniqueId val="{00000000-D57E-4BD4-AFBF-B024D0F447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[Amazon_DASH.xlsx]Sheet5!PivotTable5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24622.639999999999</c:v>
                </c:pt>
                <c:pt idx="1">
                  <c:v>25462.61</c:v>
                </c:pt>
                <c:pt idx="2">
                  <c:v>18444.600000000002</c:v>
                </c:pt>
                <c:pt idx="3">
                  <c:v>13552.25</c:v>
                </c:pt>
                <c:pt idx="4">
                  <c:v>28230.21</c:v>
                </c:pt>
                <c:pt idx="5">
                  <c:v>12670.22</c:v>
                </c:pt>
                <c:pt idx="6">
                  <c:v>17678.839999999997</c:v>
                </c:pt>
                <c:pt idx="7">
                  <c:v>23903.589999999997</c:v>
                </c:pt>
                <c:pt idx="8">
                  <c:v>16566.72</c:v>
                </c:pt>
                <c:pt idx="9">
                  <c:v>17124.479999999996</c:v>
                </c:pt>
                <c:pt idx="10">
                  <c:v>28857.329999999998</c:v>
                </c:pt>
                <c:pt idx="11">
                  <c:v>15072.82</c:v>
                </c:pt>
              </c:numCache>
            </c:numRef>
          </c:val>
          <c:extLst>
            <c:ext xmlns:c16="http://schemas.microsoft.com/office/drawing/2014/chart" uri="{C3380CC4-5D6E-409C-BE32-E72D297353CC}">
              <c16:uniqueId val="{00000000-7630-4D44-AAFC-35892853DDA5}"/>
            </c:ext>
          </c:extLst>
        </c:ser>
        <c:dLbls>
          <c:showLegendKey val="0"/>
          <c:showVal val="0"/>
          <c:showCatName val="0"/>
          <c:showSerName val="0"/>
          <c:showPercent val="0"/>
          <c:showBubbleSize val="0"/>
        </c:dLbls>
        <c:gapWidth val="182"/>
        <c:axId val="662441504"/>
        <c:axId val="662441984"/>
      </c:barChart>
      <c:catAx>
        <c:axId val="66244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441984"/>
        <c:crosses val="autoZero"/>
        <c:auto val="1"/>
        <c:lblAlgn val="ctr"/>
        <c:lblOffset val="100"/>
        <c:noMultiLvlLbl val="0"/>
      </c:catAx>
      <c:valAx>
        <c:axId val="66244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44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[Amazon_DASH.xlsx]Sheet6!PivotTable6</c:name>
    <c:fmtId val="3"/>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TotalAmount</c:v>
                </c:pt>
              </c:strCache>
            </c:strRef>
          </c:tx>
          <c:spPr>
            <a:solidFill>
              <a:schemeClr val="accent1"/>
            </a:solidFill>
            <a:ln>
              <a:noFill/>
            </a:ln>
            <a:effectLst/>
          </c:spPr>
          <c:invertIfNegative val="0"/>
          <c:cat>
            <c:strRef>
              <c:f>Sheet6!$A$4:$A$14</c:f>
              <c:strCache>
                <c:ptCount val="10"/>
                <c:pt idx="0">
                  <c:v>Apex</c:v>
                </c:pt>
                <c:pt idx="1">
                  <c:v>BrightLux</c:v>
                </c:pt>
                <c:pt idx="2">
                  <c:v>CoreTech</c:v>
                </c:pt>
                <c:pt idx="3">
                  <c:v>FitLife</c:v>
                </c:pt>
                <c:pt idx="4">
                  <c:v>HomeEase</c:v>
                </c:pt>
                <c:pt idx="5">
                  <c:v>KiddoFun</c:v>
                </c:pt>
                <c:pt idx="6">
                  <c:v>NexPro</c:v>
                </c:pt>
                <c:pt idx="7">
                  <c:v>ReadMore</c:v>
                </c:pt>
                <c:pt idx="8">
                  <c:v>UrbanStyle</c:v>
                </c:pt>
                <c:pt idx="9">
                  <c:v>Zenith</c:v>
                </c:pt>
              </c:strCache>
            </c:strRef>
          </c:cat>
          <c:val>
            <c:numRef>
              <c:f>Sheet6!$B$4:$B$14</c:f>
              <c:numCache>
                <c:formatCode>0.00%</c:formatCode>
                <c:ptCount val="10"/>
                <c:pt idx="0">
                  <c:v>0.10556410062980026</c:v>
                </c:pt>
                <c:pt idx="1">
                  <c:v>6.6488398952029959E-2</c:v>
                </c:pt>
                <c:pt idx="2">
                  <c:v>0.11654804105153589</c:v>
                </c:pt>
                <c:pt idx="3">
                  <c:v>7.7085736183849521E-2</c:v>
                </c:pt>
                <c:pt idx="4">
                  <c:v>0.14080015505418123</c:v>
                </c:pt>
                <c:pt idx="5">
                  <c:v>9.8453830854435972E-2</c:v>
                </c:pt>
                <c:pt idx="6">
                  <c:v>8.0783054995965706E-2</c:v>
                </c:pt>
                <c:pt idx="7">
                  <c:v>0.11994212224464711</c:v>
                </c:pt>
                <c:pt idx="8">
                  <c:v>9.9450790591755586E-2</c:v>
                </c:pt>
                <c:pt idx="9">
                  <c:v>9.4883769441798771E-2</c:v>
                </c:pt>
              </c:numCache>
            </c:numRef>
          </c:val>
          <c:extLst>
            <c:ext xmlns:c16="http://schemas.microsoft.com/office/drawing/2014/chart" uri="{C3380CC4-5D6E-409C-BE32-E72D297353CC}">
              <c16:uniqueId val="{00000004-FA53-4DD7-9B18-D42371FB67B4}"/>
            </c:ext>
          </c:extLst>
        </c:ser>
        <c:dLbls>
          <c:showLegendKey val="0"/>
          <c:showVal val="0"/>
          <c:showCatName val="0"/>
          <c:showSerName val="0"/>
          <c:showPercent val="0"/>
          <c:showBubbleSize val="0"/>
        </c:dLbls>
        <c:gapWidth val="219"/>
        <c:overlap val="-27"/>
        <c:axId val="755692384"/>
        <c:axId val="755648896"/>
      </c:barChart>
      <c:lineChart>
        <c:grouping val="standard"/>
        <c:varyColors val="0"/>
        <c:ser>
          <c:idx val="1"/>
          <c:order val="1"/>
          <c:tx>
            <c:strRef>
              <c:f>Sheet6!$C$3</c:f>
              <c:strCache>
                <c:ptCount val="1"/>
                <c:pt idx="0">
                  <c:v>Sum of Discount</c:v>
                </c:pt>
              </c:strCache>
            </c:strRef>
          </c:tx>
          <c:spPr>
            <a:ln w="28575" cap="rnd">
              <a:solidFill>
                <a:schemeClr val="accent2"/>
              </a:solidFill>
              <a:round/>
            </a:ln>
            <a:effectLst/>
          </c:spPr>
          <c:marker>
            <c:symbol val="none"/>
          </c:marker>
          <c:cat>
            <c:strRef>
              <c:f>Sheet6!$A$4:$A$14</c:f>
              <c:strCache>
                <c:ptCount val="10"/>
                <c:pt idx="0">
                  <c:v>Apex</c:v>
                </c:pt>
                <c:pt idx="1">
                  <c:v>BrightLux</c:v>
                </c:pt>
                <c:pt idx="2">
                  <c:v>CoreTech</c:v>
                </c:pt>
                <c:pt idx="3">
                  <c:v>FitLife</c:v>
                </c:pt>
                <c:pt idx="4">
                  <c:v>HomeEase</c:v>
                </c:pt>
                <c:pt idx="5">
                  <c:v>KiddoFun</c:v>
                </c:pt>
                <c:pt idx="6">
                  <c:v>NexPro</c:v>
                </c:pt>
                <c:pt idx="7">
                  <c:v>ReadMore</c:v>
                </c:pt>
                <c:pt idx="8">
                  <c:v>UrbanStyle</c:v>
                </c:pt>
                <c:pt idx="9">
                  <c:v>Zenith</c:v>
                </c:pt>
              </c:strCache>
            </c:strRef>
          </c:cat>
          <c:val>
            <c:numRef>
              <c:f>Sheet6!$C$4:$C$14</c:f>
              <c:numCache>
                <c:formatCode>0.00%</c:formatCode>
                <c:ptCount val="10"/>
                <c:pt idx="0">
                  <c:v>8.9999999999999983E-2</c:v>
                </c:pt>
                <c:pt idx="1">
                  <c:v>0.10249999999999997</c:v>
                </c:pt>
                <c:pt idx="2">
                  <c:v>6.9999999999999979E-2</c:v>
                </c:pt>
                <c:pt idx="3">
                  <c:v>0.11249999999999998</c:v>
                </c:pt>
                <c:pt idx="4">
                  <c:v>0.10999999999999997</c:v>
                </c:pt>
                <c:pt idx="5">
                  <c:v>9.2500000000000013E-2</c:v>
                </c:pt>
                <c:pt idx="6">
                  <c:v>0.10500000000000001</c:v>
                </c:pt>
                <c:pt idx="7">
                  <c:v>9.7500000000000017E-2</c:v>
                </c:pt>
                <c:pt idx="8">
                  <c:v>0.10499999999999998</c:v>
                </c:pt>
                <c:pt idx="9">
                  <c:v>0.11499999999999999</c:v>
                </c:pt>
              </c:numCache>
            </c:numRef>
          </c:val>
          <c:smooth val="0"/>
          <c:extLst>
            <c:ext xmlns:c16="http://schemas.microsoft.com/office/drawing/2014/chart" uri="{C3380CC4-5D6E-409C-BE32-E72D297353CC}">
              <c16:uniqueId val="{00000006-FA53-4DD7-9B18-D42371FB67B4}"/>
            </c:ext>
          </c:extLst>
        </c:ser>
        <c:dLbls>
          <c:showLegendKey val="0"/>
          <c:showVal val="0"/>
          <c:showCatName val="0"/>
          <c:showSerName val="0"/>
          <c:showPercent val="0"/>
          <c:showBubbleSize val="0"/>
        </c:dLbls>
        <c:marker val="1"/>
        <c:smooth val="0"/>
        <c:axId val="755692384"/>
        <c:axId val="755648896"/>
      </c:lineChart>
      <c:catAx>
        <c:axId val="75569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48896"/>
        <c:crosses val="autoZero"/>
        <c:auto val="1"/>
        <c:lblAlgn val="ctr"/>
        <c:lblOffset val="100"/>
        <c:noMultiLvlLbl val="0"/>
      </c:catAx>
      <c:valAx>
        <c:axId val="7556488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923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solidFill>
                  <a:schemeClr val="accent4">
                    <a:lumMod val="50000"/>
                  </a:schemeClr>
                </a:solidFill>
              </a:rPr>
              <a:t>SALES BY CATEGORY </a:t>
            </a:r>
            <a:endParaRPr lang="en-US" sz="12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50000"/>
                </a:schemeClr>
              </a:gs>
              <a:gs pos="74000">
                <a:schemeClr val="accent4">
                  <a:lumMod val="75000"/>
                </a:schemeClr>
              </a:gs>
              <a:gs pos="83000">
                <a:schemeClr val="accent4">
                  <a:lumMod val="75000"/>
                </a:schemeClr>
              </a:gs>
              <a:gs pos="100000">
                <a:schemeClr val="accent4">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a:gsLst>
                <a:gs pos="0">
                  <a:schemeClr val="accent4">
                    <a:lumMod val="50000"/>
                  </a:schemeClr>
                </a:gs>
                <a:gs pos="74000">
                  <a:schemeClr val="accent4">
                    <a:lumMod val="75000"/>
                  </a:schemeClr>
                </a:gs>
                <a:gs pos="83000">
                  <a:schemeClr val="accent4">
                    <a:lumMod val="75000"/>
                  </a:schemeClr>
                </a:gs>
                <a:gs pos="100000">
                  <a:schemeClr val="accent4">
                    <a:lumMod val="75000"/>
                  </a:schemeClr>
                </a:gs>
              </a:gsLst>
              <a:lin ang="5400000" scaled="1"/>
            </a:gradFill>
            <a:ln>
              <a:noFill/>
            </a:ln>
            <a:effectLst/>
          </c:spPr>
          <c:invertIfNegative val="0"/>
          <c:cat>
            <c:strRef>
              <c:f>Sheet1!$A$4:$A$10</c:f>
              <c:strCache>
                <c:ptCount val="6"/>
                <c:pt idx="0">
                  <c:v>Books</c:v>
                </c:pt>
                <c:pt idx="1">
                  <c:v>Clothing</c:v>
                </c:pt>
                <c:pt idx="2">
                  <c:v>Electronics</c:v>
                </c:pt>
                <c:pt idx="3">
                  <c:v>Home &amp; Kitchen</c:v>
                </c:pt>
                <c:pt idx="4">
                  <c:v>Sports &amp; Outdoors</c:v>
                </c:pt>
                <c:pt idx="5">
                  <c:v>Toys &amp; Games</c:v>
                </c:pt>
              </c:strCache>
            </c:strRef>
          </c:cat>
          <c:val>
            <c:numRef>
              <c:f>Sheet1!$B$4:$B$10</c:f>
              <c:numCache>
                <c:formatCode>General</c:formatCode>
                <c:ptCount val="6"/>
                <c:pt idx="0">
                  <c:v>41737.450000000012</c:v>
                </c:pt>
                <c:pt idx="1">
                  <c:v>28028.62</c:v>
                </c:pt>
                <c:pt idx="2">
                  <c:v>52042.62999999999</c:v>
                </c:pt>
                <c:pt idx="3">
                  <c:v>40516.250000000007</c:v>
                </c:pt>
                <c:pt idx="4">
                  <c:v>36091.75</c:v>
                </c:pt>
                <c:pt idx="5">
                  <c:v>43769.609999999993</c:v>
                </c:pt>
              </c:numCache>
            </c:numRef>
          </c:val>
          <c:extLst>
            <c:ext xmlns:c16="http://schemas.microsoft.com/office/drawing/2014/chart" uri="{C3380CC4-5D6E-409C-BE32-E72D297353CC}">
              <c16:uniqueId val="{00000000-3A51-4821-B2CF-85FFF5B8A8C8}"/>
            </c:ext>
          </c:extLst>
        </c:ser>
        <c:dLbls>
          <c:showLegendKey val="0"/>
          <c:showVal val="0"/>
          <c:showCatName val="0"/>
          <c:showSerName val="0"/>
          <c:showPercent val="0"/>
          <c:showBubbleSize val="0"/>
        </c:dLbls>
        <c:gapWidth val="219"/>
        <c:overlap val="-27"/>
        <c:axId val="604226464"/>
        <c:axId val="607419072"/>
      </c:barChart>
      <c:catAx>
        <c:axId val="60422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419072"/>
        <c:crosses val="autoZero"/>
        <c:auto val="1"/>
        <c:lblAlgn val="ctr"/>
        <c:lblOffset val="100"/>
        <c:noMultiLvlLbl val="0"/>
      </c:catAx>
      <c:valAx>
        <c:axId val="60741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2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bg2">
          <a:lumMod val="50000"/>
        </a:schemeClr>
      </a:glow>
      <a:outerShdw sx="1000" sy="1000" algn="ctr" rotWithShape="0">
        <a:srgbClr val="000000"/>
      </a:outerShdw>
      <a:softEdge rad="0"/>
    </a:effectLst>
    <a:scene3d>
      <a:camera prst="orthographicFront"/>
      <a:lightRig rig="threePt" dir="t"/>
    </a:scene3d>
    <a:sp3d>
      <a:bevelT w="0" h="0"/>
      <a:bevelB w="0" h="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4">
                    <a:lumMod val="50000"/>
                  </a:schemeClr>
                </a:solidFill>
              </a:rPr>
              <a:t>SALES</a:t>
            </a:r>
            <a:r>
              <a:rPr lang="en-US" sz="1200" b="1" baseline="0">
                <a:solidFill>
                  <a:schemeClr val="accent4">
                    <a:lumMod val="50000"/>
                  </a:schemeClr>
                </a:solidFill>
              </a:rPr>
              <a:t> BY REGION</a:t>
            </a:r>
            <a:endParaRPr lang="en-US" sz="1200" b="1">
              <a:solidFill>
                <a:schemeClr val="accent4">
                  <a:lumMod val="50000"/>
                </a:schemeClr>
              </a:solidFill>
            </a:endParaRPr>
          </a:p>
        </c:rich>
      </c:tx>
      <c:layout>
        <c:manualLayout>
          <c:xMode val="edge"/>
          <c:yMode val="edge"/>
          <c:x val="0.37242555585340353"/>
          <c:y val="0.123806517999553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4">
                  <a:lumMod val="50000"/>
                </a:schemeClr>
              </a:solidFill>
              <a:round/>
            </a:ln>
            <a:effectLst/>
          </c:spPr>
          <c:marker>
            <c:symbol val="none"/>
          </c:marker>
          <c:cat>
            <c:strRef>
              <c:f>Sheet2!$A$4:$A$9</c:f>
              <c:strCache>
                <c:ptCount val="5"/>
                <c:pt idx="0">
                  <c:v>AZ</c:v>
                </c:pt>
                <c:pt idx="1">
                  <c:v>CA</c:v>
                </c:pt>
                <c:pt idx="2">
                  <c:v>CO</c:v>
                </c:pt>
                <c:pt idx="3">
                  <c:v>DC</c:v>
                </c:pt>
                <c:pt idx="4">
                  <c:v>FL</c:v>
                </c:pt>
              </c:strCache>
            </c:strRef>
          </c:cat>
          <c:val>
            <c:numRef>
              <c:f>Sheet2!$B$4:$B$9</c:f>
              <c:numCache>
                <c:formatCode>General</c:formatCode>
                <c:ptCount val="5"/>
                <c:pt idx="0">
                  <c:v>17008.440000000002</c:v>
                </c:pt>
                <c:pt idx="1">
                  <c:v>42500.579999999987</c:v>
                </c:pt>
                <c:pt idx="2">
                  <c:v>16195.109999999999</c:v>
                </c:pt>
                <c:pt idx="3">
                  <c:v>9832.93</c:v>
                </c:pt>
                <c:pt idx="4">
                  <c:v>9926.44</c:v>
                </c:pt>
              </c:numCache>
            </c:numRef>
          </c:val>
          <c:smooth val="0"/>
          <c:extLst>
            <c:ext xmlns:c16="http://schemas.microsoft.com/office/drawing/2014/chart" uri="{C3380CC4-5D6E-409C-BE32-E72D297353CC}">
              <c16:uniqueId val="{00000000-7586-46AB-BFE7-B73326051BA2}"/>
            </c:ext>
          </c:extLst>
        </c:ser>
        <c:dLbls>
          <c:showLegendKey val="0"/>
          <c:showVal val="0"/>
          <c:showCatName val="0"/>
          <c:showSerName val="0"/>
          <c:showPercent val="0"/>
          <c:showBubbleSize val="0"/>
        </c:dLbls>
        <c:smooth val="0"/>
        <c:axId val="656431600"/>
        <c:axId val="656432080"/>
      </c:lineChart>
      <c:catAx>
        <c:axId val="65643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32080"/>
        <c:crosses val="autoZero"/>
        <c:auto val="1"/>
        <c:lblAlgn val="ctr"/>
        <c:lblOffset val="100"/>
        <c:noMultiLvlLbl val="0"/>
      </c:catAx>
      <c:valAx>
        <c:axId val="65643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43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bg2">
          <a:lumMod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[Amazon_DASH.xlsx]Sheet3!PivotTable3</c:name>
    <c:fmtId val="5"/>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sz="1200" b="1">
                <a:solidFill>
                  <a:schemeClr val="accent4">
                    <a:lumMod val="50000"/>
                  </a:schemeClr>
                </a:solidFill>
              </a:rPr>
              <a:t>SALES</a:t>
            </a:r>
            <a:r>
              <a:rPr lang="en-US" sz="1200" b="1" baseline="0">
                <a:solidFill>
                  <a:schemeClr val="accent4">
                    <a:lumMod val="50000"/>
                  </a:schemeClr>
                </a:solidFill>
              </a:rPr>
              <a:t> BY PAYMENT MODE</a:t>
            </a:r>
            <a:endParaRPr lang="en-US" sz="1200" b="1">
              <a:solidFill>
                <a:schemeClr val="accent4">
                  <a:lumMod val="50000"/>
                </a:schemeClr>
              </a:solidFill>
            </a:endParaRPr>
          </a:p>
        </c:rich>
      </c:tx>
      <c:layout>
        <c:manualLayout>
          <c:xMode val="edge"/>
          <c:yMode val="edge"/>
          <c:x val="0.35060624786488587"/>
          <c:y val="4.87625996783050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s>
    <c:plotArea>
      <c:layout>
        <c:manualLayout>
          <c:layoutTarget val="inner"/>
          <c:xMode val="edge"/>
          <c:yMode val="edge"/>
          <c:x val="2.8918553149606303E-2"/>
          <c:y val="0.20772929425488482"/>
          <c:w val="0.51474763164370085"/>
          <c:h val="0.73208552055993015"/>
        </c:manualLayout>
      </c:layout>
      <c:pieChart>
        <c:varyColors val="1"/>
        <c:ser>
          <c:idx val="0"/>
          <c:order val="0"/>
          <c:tx>
            <c:strRef>
              <c:f>Sheet3!$B$3</c:f>
              <c:strCache>
                <c:ptCount val="1"/>
                <c:pt idx="0">
                  <c:v>Total</c:v>
                </c:pt>
              </c:strCache>
            </c:strRef>
          </c:tx>
          <c:spPr>
            <a:ln>
              <a:noFill/>
            </a:ln>
          </c:spPr>
          <c:dPt>
            <c:idx val="0"/>
            <c:bubble3D val="0"/>
            <c:spPr>
              <a:solidFill>
                <a:schemeClr val="accent1">
                  <a:shade val="50000"/>
                </a:schemeClr>
              </a:solidFill>
              <a:ln w="19050">
                <a:noFill/>
              </a:ln>
              <a:effectLst/>
            </c:spPr>
            <c:extLst>
              <c:ext xmlns:c16="http://schemas.microsoft.com/office/drawing/2014/chart" uri="{C3380CC4-5D6E-409C-BE32-E72D297353CC}">
                <c16:uniqueId val="{00000001-C467-49A2-BF72-3A622FAD63C6}"/>
              </c:ext>
            </c:extLst>
          </c:dPt>
          <c:dPt>
            <c:idx val="1"/>
            <c:bubble3D val="0"/>
            <c:spPr>
              <a:solidFill>
                <a:schemeClr val="accent1">
                  <a:shade val="70000"/>
                </a:schemeClr>
              </a:solidFill>
              <a:ln w="19050">
                <a:noFill/>
              </a:ln>
              <a:effectLst/>
            </c:spPr>
            <c:extLst>
              <c:ext xmlns:c16="http://schemas.microsoft.com/office/drawing/2014/chart" uri="{C3380CC4-5D6E-409C-BE32-E72D297353CC}">
                <c16:uniqueId val="{00000003-C467-49A2-BF72-3A622FAD63C6}"/>
              </c:ext>
            </c:extLst>
          </c:dPt>
          <c:dPt>
            <c:idx val="2"/>
            <c:bubble3D val="0"/>
            <c:spPr>
              <a:solidFill>
                <a:schemeClr val="accent1">
                  <a:shade val="90000"/>
                </a:schemeClr>
              </a:solidFill>
              <a:ln w="19050">
                <a:noFill/>
              </a:ln>
              <a:effectLst/>
            </c:spPr>
            <c:extLst>
              <c:ext xmlns:c16="http://schemas.microsoft.com/office/drawing/2014/chart" uri="{C3380CC4-5D6E-409C-BE32-E72D297353CC}">
                <c16:uniqueId val="{00000005-C467-49A2-BF72-3A622FAD63C6}"/>
              </c:ext>
            </c:extLst>
          </c:dPt>
          <c:dPt>
            <c:idx val="3"/>
            <c:bubble3D val="0"/>
            <c:spPr>
              <a:solidFill>
                <a:schemeClr val="accent1">
                  <a:tint val="90000"/>
                </a:schemeClr>
              </a:solidFill>
              <a:ln w="19050">
                <a:noFill/>
              </a:ln>
              <a:effectLst/>
            </c:spPr>
            <c:extLst>
              <c:ext xmlns:c16="http://schemas.microsoft.com/office/drawing/2014/chart" uri="{C3380CC4-5D6E-409C-BE32-E72D297353CC}">
                <c16:uniqueId val="{00000007-C467-49A2-BF72-3A622FAD63C6}"/>
              </c:ext>
            </c:extLst>
          </c:dPt>
          <c:dPt>
            <c:idx val="4"/>
            <c:bubble3D val="0"/>
            <c:spPr>
              <a:solidFill>
                <a:schemeClr val="accent1">
                  <a:tint val="70000"/>
                </a:schemeClr>
              </a:solidFill>
              <a:ln w="19050">
                <a:noFill/>
              </a:ln>
              <a:effectLst/>
            </c:spPr>
            <c:extLst>
              <c:ext xmlns:c16="http://schemas.microsoft.com/office/drawing/2014/chart" uri="{C3380CC4-5D6E-409C-BE32-E72D297353CC}">
                <c16:uniqueId val="{00000009-C467-49A2-BF72-3A622FAD63C6}"/>
              </c:ext>
            </c:extLst>
          </c:dPt>
          <c:dPt>
            <c:idx val="5"/>
            <c:bubble3D val="0"/>
            <c:spPr>
              <a:solidFill>
                <a:schemeClr val="accent1">
                  <a:tint val="50000"/>
                </a:schemeClr>
              </a:solidFill>
              <a:ln w="19050">
                <a:noFill/>
              </a:ln>
              <a:effectLst/>
            </c:spPr>
            <c:extLst>
              <c:ext xmlns:c16="http://schemas.microsoft.com/office/drawing/2014/chart" uri="{C3380CC4-5D6E-409C-BE32-E72D297353CC}">
                <c16:uniqueId val="{0000000B-C467-49A2-BF72-3A622FAD63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Sheet3!$A$4:$A$10</c:f>
              <c:strCache>
                <c:ptCount val="6"/>
                <c:pt idx="0">
                  <c:v>Amazon Pay</c:v>
                </c:pt>
                <c:pt idx="1">
                  <c:v>Cash on Delivery</c:v>
                </c:pt>
                <c:pt idx="2">
                  <c:v>Credit Card</c:v>
                </c:pt>
                <c:pt idx="3">
                  <c:v>Debit Card</c:v>
                </c:pt>
                <c:pt idx="4">
                  <c:v>Net Banking</c:v>
                </c:pt>
                <c:pt idx="5">
                  <c:v>UPI</c:v>
                </c:pt>
              </c:strCache>
            </c:strRef>
          </c:cat>
          <c:val>
            <c:numRef>
              <c:f>Sheet3!$B$4:$B$10</c:f>
              <c:numCache>
                <c:formatCode>0.00%</c:formatCode>
                <c:ptCount val="6"/>
                <c:pt idx="0">
                  <c:v>0.19600422501172754</c:v>
                </c:pt>
                <c:pt idx="1">
                  <c:v>3.9587910646146765E-2</c:v>
                </c:pt>
                <c:pt idx="2">
                  <c:v>0.31766779055347921</c:v>
                </c:pt>
                <c:pt idx="3">
                  <c:v>0.17850199707819986</c:v>
                </c:pt>
                <c:pt idx="4">
                  <c:v>9.0811862982676433E-2</c:v>
                </c:pt>
                <c:pt idx="5">
                  <c:v>0.17742621372777015</c:v>
                </c:pt>
              </c:numCache>
            </c:numRef>
          </c:val>
          <c:extLst>
            <c:ext xmlns:c16="http://schemas.microsoft.com/office/drawing/2014/chart" uri="{C3380CC4-5D6E-409C-BE32-E72D297353CC}">
              <c16:uniqueId val="{0000000C-C467-49A2-BF72-3A622FAD63C6}"/>
            </c:ext>
          </c:extLst>
        </c:ser>
        <c:dLbls>
          <c:dLblPos val="bestFit"/>
          <c:showLegendKey val="0"/>
          <c:showVal val="1"/>
          <c:showCatName val="0"/>
          <c:showSerName val="0"/>
          <c:showPercent val="0"/>
          <c:showBubbleSize val="0"/>
          <c:showLeaderLines val="1"/>
        </c:dLbls>
        <c:firstSliceAng val="0"/>
      </c:pieChart>
      <c:spPr>
        <a:solidFill>
          <a:schemeClr val="bg1"/>
        </a:solidFill>
        <a:ln>
          <a:noFill/>
        </a:ln>
        <a:effectLst/>
      </c:spPr>
    </c:plotArea>
    <c:legend>
      <c:legendPos val="r"/>
      <c:overlay val="0"/>
      <c:spPr>
        <a:solidFill>
          <a:schemeClr val="accent4">
            <a:lumMod val="50000"/>
          </a:schemeClr>
        </a:solid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[Amazon_DASH.xlsx]Sheet5!PivotTable5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4">
                    <a:lumMod val="50000"/>
                  </a:schemeClr>
                </a:solidFill>
              </a:rPr>
              <a:t>SALES</a:t>
            </a:r>
            <a:r>
              <a:rPr lang="en-US" sz="1200" b="1" baseline="0">
                <a:solidFill>
                  <a:schemeClr val="accent4">
                    <a:lumMod val="50000"/>
                  </a:schemeClr>
                </a:solidFill>
              </a:rPr>
              <a:t> BY MONTH</a:t>
            </a:r>
            <a:endParaRPr lang="en-US" sz="1200" b="1">
              <a:solidFill>
                <a:schemeClr val="accent4">
                  <a:lumMod val="50000"/>
                </a:schemeClr>
              </a:solidFill>
            </a:endParaRPr>
          </a:p>
        </c:rich>
      </c:tx>
      <c:layout>
        <c:manualLayout>
          <c:xMode val="edge"/>
          <c:yMode val="edge"/>
          <c:x val="0.41927834664467473"/>
          <c:y val="3.45651543619582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80336832895888"/>
          <c:y val="0.179951516477107"/>
          <c:w val="0.48783070866141731"/>
          <c:h val="0.62968613298337706"/>
        </c:manualLayout>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24622.639999999999</c:v>
                </c:pt>
                <c:pt idx="1">
                  <c:v>25462.61</c:v>
                </c:pt>
                <c:pt idx="2">
                  <c:v>18444.600000000002</c:v>
                </c:pt>
                <c:pt idx="3">
                  <c:v>13552.25</c:v>
                </c:pt>
                <c:pt idx="4">
                  <c:v>28230.21</c:v>
                </c:pt>
                <c:pt idx="5">
                  <c:v>12670.22</c:v>
                </c:pt>
                <c:pt idx="6">
                  <c:v>17678.839999999997</c:v>
                </c:pt>
                <c:pt idx="7">
                  <c:v>23903.589999999997</c:v>
                </c:pt>
                <c:pt idx="8">
                  <c:v>16566.72</c:v>
                </c:pt>
                <c:pt idx="9">
                  <c:v>17124.479999999996</c:v>
                </c:pt>
                <c:pt idx="10">
                  <c:v>28857.329999999998</c:v>
                </c:pt>
                <c:pt idx="11">
                  <c:v>15072.82</c:v>
                </c:pt>
              </c:numCache>
            </c:numRef>
          </c:val>
          <c:extLst>
            <c:ext xmlns:c16="http://schemas.microsoft.com/office/drawing/2014/chart" uri="{C3380CC4-5D6E-409C-BE32-E72D297353CC}">
              <c16:uniqueId val="{00000000-AACB-44BD-BDFB-C9B4A0A85CBD}"/>
            </c:ext>
          </c:extLst>
        </c:ser>
        <c:dLbls>
          <c:showLegendKey val="0"/>
          <c:showVal val="0"/>
          <c:showCatName val="0"/>
          <c:showSerName val="0"/>
          <c:showPercent val="0"/>
          <c:showBubbleSize val="0"/>
        </c:dLbls>
        <c:gapWidth val="182"/>
        <c:axId val="662441504"/>
        <c:axId val="662441984"/>
      </c:barChart>
      <c:catAx>
        <c:axId val="66244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441984"/>
        <c:crosses val="autoZero"/>
        <c:auto val="1"/>
        <c:lblAlgn val="ctr"/>
        <c:lblOffset val="100"/>
        <c:noMultiLvlLbl val="0"/>
      </c:catAx>
      <c:valAx>
        <c:axId val="66244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44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[Amazon_DASH.xlsx]Sheet6!PivotTable6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TotalAmount</c:v>
                </c:pt>
              </c:strCache>
            </c:strRef>
          </c:tx>
          <c:spPr>
            <a:solidFill>
              <a:schemeClr val="accent1"/>
            </a:solidFill>
            <a:ln>
              <a:noFill/>
            </a:ln>
            <a:effectLst/>
          </c:spPr>
          <c:invertIfNegative val="0"/>
          <c:cat>
            <c:strRef>
              <c:f>Sheet6!$A$4:$A$14</c:f>
              <c:strCache>
                <c:ptCount val="10"/>
                <c:pt idx="0">
                  <c:v>Apex</c:v>
                </c:pt>
                <c:pt idx="1">
                  <c:v>BrightLux</c:v>
                </c:pt>
                <c:pt idx="2">
                  <c:v>CoreTech</c:v>
                </c:pt>
                <c:pt idx="3">
                  <c:v>FitLife</c:v>
                </c:pt>
                <c:pt idx="4">
                  <c:v>HomeEase</c:v>
                </c:pt>
                <c:pt idx="5">
                  <c:v>KiddoFun</c:v>
                </c:pt>
                <c:pt idx="6">
                  <c:v>NexPro</c:v>
                </c:pt>
                <c:pt idx="7">
                  <c:v>ReadMore</c:v>
                </c:pt>
                <c:pt idx="8">
                  <c:v>UrbanStyle</c:v>
                </c:pt>
                <c:pt idx="9">
                  <c:v>Zenith</c:v>
                </c:pt>
              </c:strCache>
            </c:strRef>
          </c:cat>
          <c:val>
            <c:numRef>
              <c:f>Sheet6!$B$4:$B$14</c:f>
              <c:numCache>
                <c:formatCode>0.00%</c:formatCode>
                <c:ptCount val="10"/>
                <c:pt idx="0">
                  <c:v>0.10556410062980026</c:v>
                </c:pt>
                <c:pt idx="1">
                  <c:v>6.6488398952029959E-2</c:v>
                </c:pt>
                <c:pt idx="2">
                  <c:v>0.11654804105153589</c:v>
                </c:pt>
                <c:pt idx="3">
                  <c:v>7.7085736183849521E-2</c:v>
                </c:pt>
                <c:pt idx="4">
                  <c:v>0.14080015505418123</c:v>
                </c:pt>
                <c:pt idx="5">
                  <c:v>9.8453830854435972E-2</c:v>
                </c:pt>
                <c:pt idx="6">
                  <c:v>8.0783054995965706E-2</c:v>
                </c:pt>
                <c:pt idx="7">
                  <c:v>0.11994212224464711</c:v>
                </c:pt>
                <c:pt idx="8">
                  <c:v>9.9450790591755586E-2</c:v>
                </c:pt>
                <c:pt idx="9">
                  <c:v>9.4883769441798771E-2</c:v>
                </c:pt>
              </c:numCache>
            </c:numRef>
          </c:val>
          <c:extLst>
            <c:ext xmlns:c16="http://schemas.microsoft.com/office/drawing/2014/chart" uri="{C3380CC4-5D6E-409C-BE32-E72D297353CC}">
              <c16:uniqueId val="{00000000-2DB0-4DC9-8562-E3A06AF30057}"/>
            </c:ext>
          </c:extLst>
        </c:ser>
        <c:dLbls>
          <c:showLegendKey val="0"/>
          <c:showVal val="0"/>
          <c:showCatName val="0"/>
          <c:showSerName val="0"/>
          <c:showPercent val="0"/>
          <c:showBubbleSize val="0"/>
        </c:dLbls>
        <c:gapWidth val="219"/>
        <c:overlap val="-27"/>
        <c:axId val="755692384"/>
        <c:axId val="755648896"/>
      </c:barChart>
      <c:lineChart>
        <c:grouping val="standard"/>
        <c:varyColors val="0"/>
        <c:ser>
          <c:idx val="1"/>
          <c:order val="1"/>
          <c:tx>
            <c:strRef>
              <c:f>Sheet6!$C$3</c:f>
              <c:strCache>
                <c:ptCount val="1"/>
                <c:pt idx="0">
                  <c:v>Sum of Discount</c:v>
                </c:pt>
              </c:strCache>
            </c:strRef>
          </c:tx>
          <c:spPr>
            <a:ln w="28575" cap="rnd">
              <a:solidFill>
                <a:schemeClr val="accent3">
                  <a:lumMod val="60000"/>
                  <a:lumOff val="40000"/>
                </a:schemeClr>
              </a:solidFill>
              <a:round/>
            </a:ln>
            <a:effectLst/>
          </c:spPr>
          <c:marker>
            <c:symbol val="none"/>
          </c:marker>
          <c:cat>
            <c:strRef>
              <c:f>Sheet6!$A$4:$A$14</c:f>
              <c:strCache>
                <c:ptCount val="10"/>
                <c:pt idx="0">
                  <c:v>Apex</c:v>
                </c:pt>
                <c:pt idx="1">
                  <c:v>BrightLux</c:v>
                </c:pt>
                <c:pt idx="2">
                  <c:v>CoreTech</c:v>
                </c:pt>
                <c:pt idx="3">
                  <c:v>FitLife</c:v>
                </c:pt>
                <c:pt idx="4">
                  <c:v>HomeEase</c:v>
                </c:pt>
                <c:pt idx="5">
                  <c:v>KiddoFun</c:v>
                </c:pt>
                <c:pt idx="6">
                  <c:v>NexPro</c:v>
                </c:pt>
                <c:pt idx="7">
                  <c:v>ReadMore</c:v>
                </c:pt>
                <c:pt idx="8">
                  <c:v>UrbanStyle</c:v>
                </c:pt>
                <c:pt idx="9">
                  <c:v>Zenith</c:v>
                </c:pt>
              </c:strCache>
            </c:strRef>
          </c:cat>
          <c:val>
            <c:numRef>
              <c:f>Sheet6!$C$4:$C$14</c:f>
              <c:numCache>
                <c:formatCode>0.00%</c:formatCode>
                <c:ptCount val="10"/>
                <c:pt idx="0">
                  <c:v>8.9999999999999983E-2</c:v>
                </c:pt>
                <c:pt idx="1">
                  <c:v>0.10249999999999997</c:v>
                </c:pt>
                <c:pt idx="2">
                  <c:v>6.9999999999999979E-2</c:v>
                </c:pt>
                <c:pt idx="3">
                  <c:v>0.11249999999999998</c:v>
                </c:pt>
                <c:pt idx="4">
                  <c:v>0.10999999999999997</c:v>
                </c:pt>
                <c:pt idx="5">
                  <c:v>9.2500000000000013E-2</c:v>
                </c:pt>
                <c:pt idx="6">
                  <c:v>0.10500000000000001</c:v>
                </c:pt>
                <c:pt idx="7">
                  <c:v>9.7500000000000017E-2</c:v>
                </c:pt>
                <c:pt idx="8">
                  <c:v>0.10499999999999998</c:v>
                </c:pt>
                <c:pt idx="9">
                  <c:v>0.11499999999999999</c:v>
                </c:pt>
              </c:numCache>
            </c:numRef>
          </c:val>
          <c:smooth val="0"/>
          <c:extLst>
            <c:ext xmlns:c16="http://schemas.microsoft.com/office/drawing/2014/chart" uri="{C3380CC4-5D6E-409C-BE32-E72D297353CC}">
              <c16:uniqueId val="{00000001-2DB0-4DC9-8562-E3A06AF30057}"/>
            </c:ext>
          </c:extLst>
        </c:ser>
        <c:dLbls>
          <c:showLegendKey val="0"/>
          <c:showVal val="0"/>
          <c:showCatName val="0"/>
          <c:showSerName val="0"/>
          <c:showPercent val="0"/>
          <c:showBubbleSize val="0"/>
        </c:dLbls>
        <c:marker val="1"/>
        <c:smooth val="0"/>
        <c:axId val="755692384"/>
        <c:axId val="755648896"/>
      </c:lineChart>
      <c:catAx>
        <c:axId val="75569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48896"/>
        <c:crosses val="autoZero"/>
        <c:auto val="1"/>
        <c:lblAlgn val="ctr"/>
        <c:lblOffset val="100"/>
        <c:noMultiLvlLbl val="0"/>
      </c:catAx>
      <c:valAx>
        <c:axId val="7556488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9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129540</xdr:colOff>
      <xdr:row>4</xdr:row>
      <xdr:rowOff>72390</xdr:rowOff>
    </xdr:from>
    <xdr:to>
      <xdr:col>10</xdr:col>
      <xdr:colOff>434340</xdr:colOff>
      <xdr:row>19</xdr:row>
      <xdr:rowOff>72390</xdr:rowOff>
    </xdr:to>
    <xdr:graphicFrame macro="">
      <xdr:nvGraphicFramePr>
        <xdr:cNvPr id="2" name="Chart 1">
          <a:extLst>
            <a:ext uri="{FF2B5EF4-FFF2-40B4-BE49-F238E27FC236}">
              <a16:creationId xmlns:a16="http://schemas.microsoft.com/office/drawing/2014/main" id="{BA0A5586-2390-7F21-75D5-FF19AF39F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449580</xdr:colOff>
      <xdr:row>5</xdr:row>
      <xdr:rowOff>80010</xdr:rowOff>
    </xdr:from>
    <xdr:to>
      <xdr:col>11</xdr:col>
      <xdr:colOff>144780</xdr:colOff>
      <xdr:row>20</xdr:row>
      <xdr:rowOff>80010</xdr:rowOff>
    </xdr:to>
    <xdr:graphicFrame macro="">
      <xdr:nvGraphicFramePr>
        <xdr:cNvPr id="2" name="Chart 1">
          <a:extLst>
            <a:ext uri="{FF2B5EF4-FFF2-40B4-BE49-F238E27FC236}">
              <a16:creationId xmlns:a16="http://schemas.microsoft.com/office/drawing/2014/main" id="{36DA0307-91FE-6F30-519C-7A0BFE7D6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327660</xdr:colOff>
      <xdr:row>5</xdr:row>
      <xdr:rowOff>80010</xdr:rowOff>
    </xdr:from>
    <xdr:to>
      <xdr:col>11</xdr:col>
      <xdr:colOff>22860</xdr:colOff>
      <xdr:row>20</xdr:row>
      <xdr:rowOff>80010</xdr:rowOff>
    </xdr:to>
    <xdr:graphicFrame macro="">
      <xdr:nvGraphicFramePr>
        <xdr:cNvPr id="3" name="Chart 2">
          <a:extLst>
            <a:ext uri="{FF2B5EF4-FFF2-40B4-BE49-F238E27FC236}">
              <a16:creationId xmlns:a16="http://schemas.microsoft.com/office/drawing/2014/main" id="{ABFAE6DB-9DB2-DA2B-8172-488C6A6F2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449580</xdr:colOff>
      <xdr:row>5</xdr:row>
      <xdr:rowOff>80010</xdr:rowOff>
    </xdr:from>
    <xdr:to>
      <xdr:col>11</xdr:col>
      <xdr:colOff>144780</xdr:colOff>
      <xdr:row>20</xdr:row>
      <xdr:rowOff>80010</xdr:rowOff>
    </xdr:to>
    <xdr:graphicFrame macro="">
      <xdr:nvGraphicFramePr>
        <xdr:cNvPr id="2" name="Chart 1">
          <a:extLst>
            <a:ext uri="{FF2B5EF4-FFF2-40B4-BE49-F238E27FC236}">
              <a16:creationId xmlns:a16="http://schemas.microsoft.com/office/drawing/2014/main" id="{DAC4A7D2-8491-2449-9257-9B49C91DE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495300</xdr:colOff>
      <xdr:row>4</xdr:row>
      <xdr:rowOff>57150</xdr:rowOff>
    </xdr:from>
    <xdr:to>
      <xdr:col>11</xdr:col>
      <xdr:colOff>190500</xdr:colOff>
      <xdr:row>19</xdr:row>
      <xdr:rowOff>57150</xdr:rowOff>
    </xdr:to>
    <xdr:graphicFrame macro="">
      <xdr:nvGraphicFramePr>
        <xdr:cNvPr id="2" name="Chart 1">
          <a:extLst>
            <a:ext uri="{FF2B5EF4-FFF2-40B4-BE49-F238E27FC236}">
              <a16:creationId xmlns:a16="http://schemas.microsoft.com/office/drawing/2014/main" id="{78402912-3F1E-B4DE-8601-F514D3E77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220980</xdr:colOff>
      <xdr:row>3</xdr:row>
      <xdr:rowOff>106680</xdr:rowOff>
    </xdr:from>
    <xdr:to>
      <xdr:col>7</xdr:col>
      <xdr:colOff>220980</xdr:colOff>
      <xdr:row>17</xdr:row>
      <xdr:rowOff>127635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65F28815-7B7F-9F8B-4B9C-EC496D8D6E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52900" y="6553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91440</xdr:colOff>
      <xdr:row>6</xdr:row>
      <xdr:rowOff>38100</xdr:rowOff>
    </xdr:from>
    <xdr:to>
      <xdr:col>8</xdr:col>
      <xdr:colOff>91440</xdr:colOff>
      <xdr:row>20</xdr:row>
      <xdr:rowOff>59055</xdr:rowOff>
    </xdr:to>
    <mc:AlternateContent xmlns:mc="http://schemas.openxmlformats.org/markup-compatibility/2006">
      <mc:Choice xmlns:a14="http://schemas.microsoft.com/office/drawing/2010/main" Requires="a14">
        <xdr:graphicFrame macro="">
          <xdr:nvGraphicFramePr>
            <xdr:cNvPr id="3" name="Brand">
              <a:extLst>
                <a:ext uri="{FF2B5EF4-FFF2-40B4-BE49-F238E27FC236}">
                  <a16:creationId xmlns:a16="http://schemas.microsoft.com/office/drawing/2014/main" id="{D2384A82-5C25-69FC-6EBA-8AC640D20D4A}"/>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4632960" y="11353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8</xdr:row>
      <xdr:rowOff>152400</xdr:rowOff>
    </xdr:from>
    <xdr:to>
      <xdr:col>8</xdr:col>
      <xdr:colOff>571500</xdr:colOff>
      <xdr:row>22</xdr:row>
      <xdr:rowOff>173355</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A51384FB-ADAC-3830-2BD2-0A59EDBB088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113020" y="16154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548640</xdr:colOff>
      <xdr:row>10</xdr:row>
      <xdr:rowOff>7620</xdr:rowOff>
    </xdr:from>
    <xdr:to>
      <xdr:col>15</xdr:col>
      <xdr:colOff>228600</xdr:colOff>
      <xdr:row>17</xdr:row>
      <xdr:rowOff>99060</xdr:rowOff>
    </xdr:to>
    <mc:AlternateContent xmlns:mc="http://schemas.openxmlformats.org/markup-compatibility/2006">
      <mc:Choice xmlns:tsle="http://schemas.microsoft.com/office/drawing/2012/timeslicer" Requires="tsle">
        <xdr:graphicFrame macro="">
          <xdr:nvGraphicFramePr>
            <xdr:cNvPr id="5" name="OrderDate">
              <a:extLst>
                <a:ext uri="{FF2B5EF4-FFF2-40B4-BE49-F238E27FC236}">
                  <a16:creationId xmlns:a16="http://schemas.microsoft.com/office/drawing/2014/main" id="{9A27C77B-7A1F-5F34-633F-6D19C3238829}"/>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7528560" y="183642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121920</xdr:colOff>
      <xdr:row>3</xdr:row>
      <xdr:rowOff>99060</xdr:rowOff>
    </xdr:from>
    <xdr:to>
      <xdr:col>4</xdr:col>
      <xdr:colOff>487680</xdr:colOff>
      <xdr:row>7</xdr:row>
      <xdr:rowOff>178992</xdr:rowOff>
    </xdr:to>
    <xdr:sp macro="" textlink="$Y$3">
      <xdr:nvSpPr>
        <xdr:cNvPr id="4" name="Rectangle: Rounded Corners 3">
          <a:extLst>
            <a:ext uri="{FF2B5EF4-FFF2-40B4-BE49-F238E27FC236}">
              <a16:creationId xmlns:a16="http://schemas.microsoft.com/office/drawing/2014/main" id="{1A6B66F6-CCBD-0FBE-C65A-880946E98229}"/>
            </a:ext>
          </a:extLst>
        </xdr:cNvPr>
        <xdr:cNvSpPr/>
      </xdr:nvSpPr>
      <xdr:spPr>
        <a:xfrm>
          <a:off x="121920" y="658897"/>
          <a:ext cx="2791719" cy="826381"/>
        </a:xfrm>
        <a:prstGeom prst="roundRect">
          <a:avLst/>
        </a:prstGeom>
        <a:gradFill flip="none" rotWithShape="1">
          <a:gsLst>
            <a:gs pos="0">
              <a:schemeClr val="accent4">
                <a:lumMod val="50000"/>
                <a:shade val="30000"/>
                <a:satMod val="115000"/>
              </a:schemeClr>
            </a:gs>
            <a:gs pos="50000">
              <a:schemeClr val="accent4">
                <a:lumMod val="50000"/>
                <a:shade val="67500"/>
                <a:satMod val="115000"/>
              </a:schemeClr>
            </a:gs>
            <a:gs pos="100000">
              <a:schemeClr val="accent4">
                <a:lumMod val="5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TOTAL SALES</a:t>
          </a:r>
        </a:p>
        <a:p>
          <a:pPr algn="l"/>
          <a:fld id="{4244197C-1021-40D2-9C27-DE0684EF15E8}" type="TxLink">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242186.31</a:t>
          </a:fld>
          <a:endParaRPr lang="en-US" sz="1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598170</xdr:colOff>
      <xdr:row>3</xdr:row>
      <xdr:rowOff>99060</xdr:rowOff>
    </xdr:from>
    <xdr:to>
      <xdr:col>9</xdr:col>
      <xdr:colOff>354330</xdr:colOff>
      <xdr:row>7</xdr:row>
      <xdr:rowOff>175260</xdr:rowOff>
    </xdr:to>
    <xdr:sp macro="" textlink="dashboard!$Y$5">
      <xdr:nvSpPr>
        <xdr:cNvPr id="12" name="Rectangle: Rounded Corners 11">
          <a:extLst>
            <a:ext uri="{FF2B5EF4-FFF2-40B4-BE49-F238E27FC236}">
              <a16:creationId xmlns:a16="http://schemas.microsoft.com/office/drawing/2014/main" id="{CD465705-09F9-43E1-B80D-14D11F6A45FD}"/>
            </a:ext>
          </a:extLst>
        </xdr:cNvPr>
        <xdr:cNvSpPr/>
      </xdr:nvSpPr>
      <xdr:spPr>
        <a:xfrm>
          <a:off x="3024129" y="658897"/>
          <a:ext cx="2788609" cy="822649"/>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TOTAL ORDERS</a:t>
          </a:r>
        </a:p>
        <a:p>
          <a:pPr algn="l"/>
          <a:fld id="{92AF6CA7-81AF-4C8A-A287-F9DE8AF35513}" type="TxLink">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250</a:t>
          </a:fld>
          <a:endPar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464820</xdr:colOff>
      <xdr:row>3</xdr:row>
      <xdr:rowOff>99060</xdr:rowOff>
    </xdr:from>
    <xdr:to>
      <xdr:col>14</xdr:col>
      <xdr:colOff>220980</xdr:colOff>
      <xdr:row>7</xdr:row>
      <xdr:rowOff>178992</xdr:rowOff>
    </xdr:to>
    <xdr:sp macro="" textlink="dashboard!$Y$7">
      <xdr:nvSpPr>
        <xdr:cNvPr id="13" name="Rectangle: Rounded Corners 12">
          <a:extLst>
            <a:ext uri="{FF2B5EF4-FFF2-40B4-BE49-F238E27FC236}">
              <a16:creationId xmlns:a16="http://schemas.microsoft.com/office/drawing/2014/main" id="{9979EA28-EC69-4048-BF38-FA5791547CF6}"/>
            </a:ext>
          </a:extLst>
        </xdr:cNvPr>
        <xdr:cNvSpPr/>
      </xdr:nvSpPr>
      <xdr:spPr>
        <a:xfrm>
          <a:off x="5923228" y="658897"/>
          <a:ext cx="2788609" cy="826381"/>
        </a:xfrm>
        <a:prstGeom prst="roundRect">
          <a:avLst/>
        </a:prstGeom>
        <a:gradFill flip="none" rotWithShape="1">
          <a:gsLst>
            <a:gs pos="0">
              <a:schemeClr val="accent4">
                <a:lumMod val="50000"/>
                <a:shade val="30000"/>
                <a:satMod val="115000"/>
              </a:schemeClr>
            </a:gs>
            <a:gs pos="50000">
              <a:schemeClr val="accent4">
                <a:lumMod val="50000"/>
                <a:shade val="67500"/>
                <a:satMod val="115000"/>
              </a:schemeClr>
            </a:gs>
            <a:gs pos="100000">
              <a:schemeClr val="accent4">
                <a:lumMod val="50000"/>
                <a:shade val="100000"/>
                <a:satMod val="115000"/>
              </a:schemeClr>
            </a:gs>
          </a:gsLst>
          <a:lin ang="108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TOTAL ITEMS</a:t>
          </a:r>
        </a:p>
        <a:p>
          <a:pPr algn="l"/>
          <a:fld id="{32A7E7A1-12D0-490A-BE4E-86618507BC0A}" type="TxLink">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803</a:t>
          </a:fld>
          <a:endParaRPr lang="en-US" sz="1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145247</xdr:colOff>
      <xdr:row>8</xdr:row>
      <xdr:rowOff>68114</xdr:rowOff>
    </xdr:from>
    <xdr:to>
      <xdr:col>7</xdr:col>
      <xdr:colOff>145247</xdr:colOff>
      <xdr:row>20</xdr:row>
      <xdr:rowOff>136694</xdr:rowOff>
    </xdr:to>
    <xdr:graphicFrame macro="">
      <xdr:nvGraphicFramePr>
        <xdr:cNvPr id="14" name="Chart 13">
          <a:extLst>
            <a:ext uri="{FF2B5EF4-FFF2-40B4-BE49-F238E27FC236}">
              <a16:creationId xmlns:a16="http://schemas.microsoft.com/office/drawing/2014/main" id="{296994BA-B9F3-457E-B9FE-F631448C5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220980</xdr:colOff>
      <xdr:row>8</xdr:row>
      <xdr:rowOff>68114</xdr:rowOff>
    </xdr:from>
    <xdr:to>
      <xdr:col>14</xdr:col>
      <xdr:colOff>213360</xdr:colOff>
      <xdr:row>20</xdr:row>
      <xdr:rowOff>129074</xdr:rowOff>
    </xdr:to>
    <xdr:graphicFrame macro="">
      <xdr:nvGraphicFramePr>
        <xdr:cNvPr id="15" name="Chart 14">
          <a:extLst>
            <a:ext uri="{FF2B5EF4-FFF2-40B4-BE49-F238E27FC236}">
              <a16:creationId xmlns:a16="http://schemas.microsoft.com/office/drawing/2014/main" id="{E40B0A9D-1D5D-4E38-810C-0796AACAA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288938</xdr:colOff>
      <xdr:row>3</xdr:row>
      <xdr:rowOff>99060</xdr:rowOff>
    </xdr:from>
    <xdr:to>
      <xdr:col>20</xdr:col>
      <xdr:colOff>464198</xdr:colOff>
      <xdr:row>14</xdr:row>
      <xdr:rowOff>72469</xdr:rowOff>
    </xdr:to>
    <xdr:graphicFrame macro="">
      <xdr:nvGraphicFramePr>
        <xdr:cNvPr id="16" name="Chart 15">
          <a:extLst>
            <a:ext uri="{FF2B5EF4-FFF2-40B4-BE49-F238E27FC236}">
              <a16:creationId xmlns:a16="http://schemas.microsoft.com/office/drawing/2014/main" id="{F8998A18-B535-48C5-AB17-BC598F009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121920</xdr:colOff>
      <xdr:row>21</xdr:row>
      <xdr:rowOff>22860</xdr:rowOff>
    </xdr:from>
    <xdr:to>
      <xdr:col>10</xdr:col>
      <xdr:colOff>76200</xdr:colOff>
      <xdr:row>36</xdr:row>
      <xdr:rowOff>38100</xdr:rowOff>
    </xdr:to>
    <xdr:graphicFrame macro="">
      <xdr:nvGraphicFramePr>
        <xdr:cNvPr id="17" name="Chart 16">
          <a:extLst>
            <a:ext uri="{FF2B5EF4-FFF2-40B4-BE49-F238E27FC236}">
              <a16:creationId xmlns:a16="http://schemas.microsoft.com/office/drawing/2014/main" id="{800FDD0B-BD1B-464A-BE6E-4502D0DDC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152400</xdr:colOff>
      <xdr:row>21</xdr:row>
      <xdr:rowOff>38100</xdr:rowOff>
    </xdr:from>
    <xdr:to>
      <xdr:col>20</xdr:col>
      <xdr:colOff>464820</xdr:colOff>
      <xdr:row>36</xdr:row>
      <xdr:rowOff>38100</xdr:rowOff>
    </xdr:to>
    <xdr:graphicFrame macro="">
      <xdr:nvGraphicFramePr>
        <xdr:cNvPr id="18" name="Chart 17">
          <a:extLst>
            <a:ext uri="{FF2B5EF4-FFF2-40B4-BE49-F238E27FC236}">
              <a16:creationId xmlns:a16="http://schemas.microsoft.com/office/drawing/2014/main" id="{2AEB2498-06B5-471F-8ADB-05ECDFE66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541020</xdr:colOff>
      <xdr:row>13</xdr:row>
      <xdr:rowOff>137161</xdr:rowOff>
    </xdr:from>
    <xdr:to>
      <xdr:col>23</xdr:col>
      <xdr:colOff>419878</xdr:colOff>
      <xdr:row>24</xdr:row>
      <xdr:rowOff>160021</xdr:rowOff>
    </xdr:to>
    <mc:AlternateContent xmlns:mc="http://schemas.openxmlformats.org/markup-compatibility/2006">
      <mc:Choice xmlns:a14="http://schemas.microsoft.com/office/drawing/2010/main" Requires="a14">
        <xdr:graphicFrame macro="">
          <xdr:nvGraphicFramePr>
            <xdr:cNvPr id="19" name="Category 1">
              <a:extLst>
                <a:ext uri="{FF2B5EF4-FFF2-40B4-BE49-F238E27FC236}">
                  <a16:creationId xmlns:a16="http://schemas.microsoft.com/office/drawing/2014/main" id="{FD2CE443-D692-4466-855D-0DEB64AAB98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670816" y="2563120"/>
              <a:ext cx="1698327" cy="2075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548640</xdr:colOff>
      <xdr:row>25</xdr:row>
      <xdr:rowOff>45721</xdr:rowOff>
    </xdr:from>
    <xdr:to>
      <xdr:col>23</xdr:col>
      <xdr:colOff>548640</xdr:colOff>
      <xdr:row>36</xdr:row>
      <xdr:rowOff>38101</xdr:rowOff>
    </xdr:to>
    <mc:AlternateContent xmlns:mc="http://schemas.openxmlformats.org/markup-compatibility/2006">
      <mc:Choice xmlns:a14="http://schemas.microsoft.com/office/drawing/2010/main" Requires="a14">
        <xdr:graphicFrame macro="">
          <xdr:nvGraphicFramePr>
            <xdr:cNvPr id="20" name="Brand 1">
              <a:extLst>
                <a:ext uri="{FF2B5EF4-FFF2-40B4-BE49-F238E27FC236}">
                  <a16:creationId xmlns:a16="http://schemas.microsoft.com/office/drawing/2014/main" id="{82571C80-0C30-4322-83A9-D46066175250}"/>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2678436" y="4711027"/>
              <a:ext cx="1819469" cy="2045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541020</xdr:colOff>
      <xdr:row>3</xdr:row>
      <xdr:rowOff>83821</xdr:rowOff>
    </xdr:from>
    <xdr:to>
      <xdr:col>23</xdr:col>
      <xdr:colOff>419878</xdr:colOff>
      <xdr:row>13</xdr:row>
      <xdr:rowOff>76201</xdr:rowOff>
    </xdr:to>
    <mc:AlternateContent xmlns:mc="http://schemas.openxmlformats.org/markup-compatibility/2006">
      <mc:Choice xmlns:a14="http://schemas.microsoft.com/office/drawing/2010/main" Requires="a14">
        <xdr:graphicFrame macro="">
          <xdr:nvGraphicFramePr>
            <xdr:cNvPr id="21" name="Country 1">
              <a:extLst>
                <a:ext uri="{FF2B5EF4-FFF2-40B4-BE49-F238E27FC236}">
                  <a16:creationId xmlns:a16="http://schemas.microsoft.com/office/drawing/2014/main" id="{19BAD168-F06D-4095-9DD1-FF0666A5624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2670816" y="643658"/>
              <a:ext cx="1698327" cy="1858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311798</xdr:colOff>
      <xdr:row>14</xdr:row>
      <xdr:rowOff>145870</xdr:rowOff>
    </xdr:from>
    <xdr:to>
      <xdr:col>20</xdr:col>
      <xdr:colOff>482082</xdr:colOff>
      <xdr:row>20</xdr:row>
      <xdr:rowOff>108858</xdr:rowOff>
    </xdr:to>
    <mc:AlternateContent xmlns:mc="http://schemas.openxmlformats.org/markup-compatibility/2006">
      <mc:Choice xmlns:tsle="http://schemas.microsoft.com/office/drawing/2012/timeslicer" Requires="tsle">
        <xdr:graphicFrame macro="">
          <xdr:nvGraphicFramePr>
            <xdr:cNvPr id="22" name="OrderDate 1">
              <a:extLst>
                <a:ext uri="{FF2B5EF4-FFF2-40B4-BE49-F238E27FC236}">
                  <a16:creationId xmlns:a16="http://schemas.microsoft.com/office/drawing/2014/main" id="{C162A106-3D52-4453-8885-7188248B04E4}"/>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8802655" y="2758441"/>
              <a:ext cx="3809223" cy="108266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84.632395949076" createdVersion="8" refreshedVersion="8" minRefreshableVersion="3" recordCount="250" xr:uid="{1864C64B-6591-4136-9614-961E238763D9}">
  <cacheSource type="worksheet">
    <worksheetSource ref="A1:T251" sheet="Amazon_cleaned"/>
  </cacheSource>
  <cacheFields count="24">
    <cacheField name="OrderID" numFmtId="0">
      <sharedItems count="250">
        <s v="ORD0000001"/>
        <s v="ORD0000002"/>
        <s v="ORD0000003"/>
        <s v="ORD0000004"/>
        <s v="ORD0000005"/>
        <s v="ORD0000006"/>
        <s v="ORD0000007"/>
        <s v="ORD0000008"/>
        <s v="ORD0000009"/>
        <s v="ORD0000010"/>
        <s v="ORD0000011"/>
        <s v="ORD0000012"/>
        <s v="ORD0000013"/>
        <s v="ORD0000014"/>
        <s v="ORD0000015"/>
        <s v="ORD0000016"/>
        <s v="ORD0000017"/>
        <s v="ORD0000018"/>
        <s v="ORD0000019"/>
        <s v="ORD0000020"/>
        <s v="ORD0000021"/>
        <s v="ORD0000022"/>
        <s v="ORD0000023"/>
        <s v="ORD0000024"/>
        <s v="ORD0000025"/>
        <s v="ORD0000026"/>
        <s v="ORD0000027"/>
        <s v="ORD0000028"/>
        <s v="ORD0000029"/>
        <s v="ORD0000030"/>
        <s v="ORD0000031"/>
        <s v="ORD0000032"/>
        <s v="ORD0000033"/>
        <s v="ORD0000034"/>
        <s v="ORD0000035"/>
        <s v="ORD0000036"/>
        <s v="ORD0000037"/>
        <s v="ORD0000038"/>
        <s v="ORD0000039"/>
        <s v="ORD0000040"/>
        <s v="ORD0000041"/>
        <s v="ORD0000042"/>
        <s v="ORD0000043"/>
        <s v="ORD0000044"/>
        <s v="ORD0000045"/>
        <s v="ORD0000046"/>
        <s v="ORD0000047"/>
        <s v="ORD0000048"/>
        <s v="ORD0000049"/>
        <s v="ORD0000050"/>
        <s v="ORD0000051"/>
        <s v="ORD0000052"/>
        <s v="ORD0000053"/>
        <s v="ORD0000054"/>
        <s v="ORD0000055"/>
        <s v="ORD0000056"/>
        <s v="ORD0000057"/>
        <s v="ORD0000058"/>
        <s v="ORD0000059"/>
        <s v="ORD0000060"/>
        <s v="ORD0000061"/>
        <s v="ORD0000062"/>
        <s v="ORD0000063"/>
        <s v="ORD0000064"/>
        <s v="ORD0000065"/>
        <s v="ORD0000066"/>
        <s v="ORD0000067"/>
        <s v="ORD0000068"/>
        <s v="ORD0000069"/>
        <s v="ORD0000070"/>
        <s v="ORD0000071"/>
        <s v="ORD0000072"/>
        <s v="ORD0000073"/>
        <s v="ORD0000074"/>
        <s v="ORD0000075"/>
        <s v="ORD0000076"/>
        <s v="ORD0000077"/>
        <s v="ORD0000078"/>
        <s v="ORD0000079"/>
        <s v="ORD0000080"/>
        <s v="ORD0000081"/>
        <s v="ORD0000082"/>
        <s v="ORD0000083"/>
        <s v="ORD0000084"/>
        <s v="ORD0000085"/>
        <s v="ORD0000086"/>
        <s v="ORD0000087"/>
        <s v="ORD0000088"/>
        <s v="ORD0000089"/>
        <s v="ORD0000090"/>
        <s v="ORD0000091"/>
        <s v="ORD0000092"/>
        <s v="ORD0000093"/>
        <s v="ORD0000094"/>
        <s v="ORD0000095"/>
        <s v="ORD0000096"/>
        <s v="ORD0000097"/>
        <s v="ORD0000098"/>
        <s v="ORD0000099"/>
        <s v="ORD0000100"/>
        <s v="ORD0000101"/>
        <s v="ORD0000102"/>
        <s v="ORD0000103"/>
        <s v="ORD0000104"/>
        <s v="ORD0000105"/>
        <s v="ORD0000106"/>
        <s v="ORD0000107"/>
        <s v="ORD0000108"/>
        <s v="ORD0000109"/>
        <s v="ORD0000110"/>
        <s v="ORD0000111"/>
        <s v="ORD0000112"/>
        <s v="ORD0000113"/>
        <s v="ORD0000114"/>
        <s v="ORD0000115"/>
        <s v="ORD0000116"/>
        <s v="ORD0000117"/>
        <s v="ORD0000118"/>
        <s v="ORD0000119"/>
        <s v="ORD0000120"/>
        <s v="ORD0000121"/>
        <s v="ORD0000122"/>
        <s v="ORD0000123"/>
        <s v="ORD0000124"/>
        <s v="ORD0000125"/>
        <s v="ORD0000126"/>
        <s v="ORD0000127"/>
        <s v="ORD0000128"/>
        <s v="ORD0000129"/>
        <s v="ORD0000130"/>
        <s v="ORD0000131"/>
        <s v="ORD0000132"/>
        <s v="ORD0000133"/>
        <s v="ORD0000134"/>
        <s v="ORD0000135"/>
        <s v="ORD0000136"/>
        <s v="ORD0000137"/>
        <s v="ORD0000138"/>
        <s v="ORD0000139"/>
        <s v="ORD0000140"/>
        <s v="ORD0000141"/>
        <s v="ORD0000142"/>
        <s v="ORD0000143"/>
        <s v="ORD0000144"/>
        <s v="ORD0000145"/>
        <s v="ORD0000146"/>
        <s v="ORD0000147"/>
        <s v="ORD0000148"/>
        <s v="ORD0000149"/>
        <s v="ORD0000150"/>
        <s v="ORD0000151"/>
        <s v="ORD0000152"/>
        <s v="ORD0000153"/>
        <s v="ORD0000154"/>
        <s v="ORD0000155"/>
        <s v="ORD0000156"/>
        <s v="ORD0000157"/>
        <s v="ORD0000158"/>
        <s v="ORD0000159"/>
        <s v="ORD0000160"/>
        <s v="ORD0000161"/>
        <s v="ORD0000162"/>
        <s v="ORD0000163"/>
        <s v="ORD0000164"/>
        <s v="ORD0000165"/>
        <s v="ORD0000166"/>
        <s v="ORD0000167"/>
        <s v="ORD0000168"/>
        <s v="ORD0000169"/>
        <s v="ORD0000170"/>
        <s v="ORD0000171"/>
        <s v="ORD0000172"/>
        <s v="ORD0000173"/>
        <s v="ORD0000174"/>
        <s v="ORD0000175"/>
        <s v="ORD0000176"/>
        <s v="ORD0000177"/>
        <s v="ORD0000178"/>
        <s v="ORD0000179"/>
        <s v="ORD0000180"/>
        <s v="ORD0000181"/>
        <s v="ORD0000182"/>
        <s v="ORD0000183"/>
        <s v="ORD0000184"/>
        <s v="ORD0000185"/>
        <s v="ORD0000186"/>
        <s v="ORD0000187"/>
        <s v="ORD0000188"/>
        <s v="ORD0000189"/>
        <s v="ORD0000190"/>
        <s v="ORD0000191"/>
        <s v="ORD0000192"/>
        <s v="ORD0000193"/>
        <s v="ORD0000194"/>
        <s v="ORD0000195"/>
        <s v="ORD0000196"/>
        <s v="ORD0000197"/>
        <s v="ORD0000198"/>
        <s v="ORD0000199"/>
        <s v="ORD0000200"/>
        <s v="ORD0000201"/>
        <s v="ORD0000202"/>
        <s v="ORD0000203"/>
        <s v="ORD0000204"/>
        <s v="ORD0000205"/>
        <s v="ORD0000206"/>
        <s v="ORD0000207"/>
        <s v="ORD0000208"/>
        <s v="ORD0000209"/>
        <s v="ORD0000210"/>
        <s v="ORD0000211"/>
        <s v="ORD0000212"/>
        <s v="ORD0000213"/>
        <s v="ORD0000214"/>
        <s v="ORD0000215"/>
        <s v="ORD0000216"/>
        <s v="ORD0000217"/>
        <s v="ORD0000218"/>
        <s v="ORD0000219"/>
        <s v="ORD0000220"/>
        <s v="ORD0000221"/>
        <s v="ORD0000222"/>
        <s v="ORD0000223"/>
        <s v="ORD0000224"/>
        <s v="ORD0000225"/>
        <s v="ORD0000226"/>
        <s v="ORD0000227"/>
        <s v="ORD0000228"/>
        <s v="ORD0000229"/>
        <s v="ORD0000230"/>
        <s v="ORD0000231"/>
        <s v="ORD0000232"/>
        <s v="ORD0000233"/>
        <s v="ORD0000234"/>
        <s v="ORD0000235"/>
        <s v="ORD0000236"/>
        <s v="ORD0000237"/>
        <s v="ORD0000238"/>
        <s v="ORD0000239"/>
        <s v="ORD0000240"/>
        <s v="ORD0000241"/>
        <s v="ORD0000242"/>
        <s v="ORD0000243"/>
        <s v="ORD0000244"/>
        <s v="ORD0000245"/>
        <s v="ORD0000246"/>
        <s v="ORD0000247"/>
        <s v="ORD0000248"/>
        <s v="ORD0000249"/>
        <s v="ORD0000250"/>
      </sharedItems>
    </cacheField>
    <cacheField name="OrderDate" numFmtId="14">
      <sharedItems containsSemiMixedTypes="0" containsNonDate="0" containsDate="1" containsString="0" minDate="2020-01-14T00:00:00" maxDate="2024-12-27T00:00:00" count="236">
        <d v="2023-01-31T00:00:00"/>
        <d v="2023-12-30T00:00:00"/>
        <d v="2022-05-10T00:00:00"/>
        <d v="2023-07-18T00:00:00"/>
        <d v="2023-02-04T00:00:00"/>
        <d v="2022-12-31T00:00:00"/>
        <d v="2024-09-20T00:00:00"/>
        <d v="2022-11-10T00:00:00"/>
        <d v="2024-06-26T00:00:00"/>
        <d v="2020-05-01T00:00:00"/>
        <d v="2021-04-11T00:00:00"/>
        <d v="2023-05-23T00:00:00"/>
        <d v="2020-11-26T00:00:00"/>
        <d v="2024-01-22T00:00:00"/>
        <d v="2020-03-28T00:00:00"/>
        <d v="2023-10-28T00:00:00"/>
        <d v="2023-01-28T00:00:00"/>
        <d v="2022-05-21T00:00:00"/>
        <d v="2024-08-14T00:00:00"/>
        <d v="2020-05-10T00:00:00"/>
        <d v="2024-08-12T00:00:00"/>
        <d v="2023-08-25T00:00:00"/>
        <d v="2022-02-08T00:00:00"/>
        <d v="2020-12-09T00:00:00"/>
        <d v="2024-02-24T00:00:00"/>
        <d v="2023-12-08T00:00:00"/>
        <d v="2022-03-16T00:00:00"/>
        <d v="2021-01-20T00:00:00"/>
        <d v="2023-04-30T00:00:00"/>
        <d v="2022-08-13T00:00:00"/>
        <d v="2020-10-03T00:00:00"/>
        <d v="2023-03-30T00:00:00"/>
        <d v="2021-04-04T00:00:00"/>
        <d v="2023-08-30T00:00:00"/>
        <d v="2020-01-22T00:00:00"/>
        <d v="2020-09-09T00:00:00"/>
        <d v="2022-01-17T00:00:00"/>
        <d v="2022-05-06T00:00:00"/>
        <d v="2024-05-03T00:00:00"/>
        <d v="2021-04-19T00:00:00"/>
        <d v="2022-12-18T00:00:00"/>
        <d v="2021-05-25T00:00:00"/>
        <d v="2024-09-01T00:00:00"/>
        <d v="2024-02-08T00:00:00"/>
        <d v="2021-11-30T00:00:00"/>
        <d v="2022-09-02T00:00:00"/>
        <d v="2024-12-11T00:00:00"/>
        <d v="2020-07-08T00:00:00"/>
        <d v="2022-08-15T00:00:00"/>
        <d v="2021-11-17T00:00:00"/>
        <d v="2021-07-16T00:00:00"/>
        <d v="2024-05-09T00:00:00"/>
        <d v="2023-06-21T00:00:00"/>
        <d v="2022-04-11T00:00:00"/>
        <d v="2024-03-08T00:00:00"/>
        <d v="2023-02-28T00:00:00"/>
        <d v="2024-02-17T00:00:00"/>
        <d v="2021-10-08T00:00:00"/>
        <d v="2020-01-21T00:00:00"/>
        <d v="2022-04-20T00:00:00"/>
        <d v="2020-06-15T00:00:00"/>
        <d v="2023-07-21T00:00:00"/>
        <d v="2021-01-22T00:00:00"/>
        <d v="2021-08-23T00:00:00"/>
        <d v="2020-11-11T00:00:00"/>
        <d v="2020-01-14T00:00:00"/>
        <d v="2020-08-29T00:00:00"/>
        <d v="2022-02-15T00:00:00"/>
        <d v="2023-10-01T00:00:00"/>
        <d v="2021-07-18T00:00:00"/>
        <d v="2022-06-16T00:00:00"/>
        <d v="2023-09-25T00:00:00"/>
        <d v="2020-04-01T00:00:00"/>
        <d v="2023-10-22T00:00:00"/>
        <d v="2024-01-18T00:00:00"/>
        <d v="2023-12-22T00:00:00"/>
        <d v="2021-05-23T00:00:00"/>
        <d v="2022-02-14T00:00:00"/>
        <d v="2020-02-04T00:00:00"/>
        <d v="2020-07-24T00:00:00"/>
        <d v="2023-01-09T00:00:00"/>
        <d v="2024-05-04T00:00:00"/>
        <d v="2023-11-12T00:00:00"/>
        <d v="2022-10-22T00:00:00"/>
        <d v="2022-10-18T00:00:00"/>
        <d v="2023-11-14T00:00:00"/>
        <d v="2021-07-19T00:00:00"/>
        <d v="2023-02-03T00:00:00"/>
        <d v="2024-11-30T00:00:00"/>
        <d v="2024-02-09T00:00:00"/>
        <d v="2021-12-03T00:00:00"/>
        <d v="2021-02-05T00:00:00"/>
        <d v="2021-12-30T00:00:00"/>
        <d v="2024-04-28T00:00:00"/>
        <d v="2020-06-10T00:00:00"/>
        <d v="2020-07-20T00:00:00"/>
        <d v="2022-09-22T00:00:00"/>
        <d v="2020-09-26T00:00:00"/>
        <d v="2022-03-26T00:00:00"/>
        <d v="2021-03-31T00:00:00"/>
        <d v="2024-01-25T00:00:00"/>
        <d v="2024-10-16T00:00:00"/>
        <d v="2023-06-29T00:00:00"/>
        <d v="2022-10-13T00:00:00"/>
        <d v="2024-09-21T00:00:00"/>
        <d v="2020-10-22T00:00:00"/>
        <d v="2024-10-14T00:00:00"/>
        <d v="2021-12-20T00:00:00"/>
        <d v="2024-11-07T00:00:00"/>
        <d v="2020-12-03T00:00:00"/>
        <d v="2022-05-28T00:00:00"/>
        <d v="2022-12-12T00:00:00"/>
        <d v="2022-03-02T00:00:00"/>
        <d v="2020-08-04T00:00:00"/>
        <d v="2022-02-02T00:00:00"/>
        <d v="2020-07-06T00:00:00"/>
        <d v="2021-01-14T00:00:00"/>
        <d v="2021-05-07T00:00:00"/>
        <d v="2022-11-30T00:00:00"/>
        <d v="2023-03-26T00:00:00"/>
        <d v="2020-01-15T00:00:00"/>
        <d v="2020-03-05T00:00:00"/>
        <d v="2021-06-04T00:00:00"/>
        <d v="2023-09-29T00:00:00"/>
        <d v="2023-02-26T00:00:00"/>
        <d v="2021-10-09T00:00:00"/>
        <d v="2024-02-04T00:00:00"/>
        <d v="2022-12-22T00:00:00"/>
        <d v="2023-03-08T00:00:00"/>
        <d v="2024-03-02T00:00:00"/>
        <d v="2021-08-15T00:00:00"/>
        <d v="2021-01-26T00:00:00"/>
        <d v="2024-08-25T00:00:00"/>
        <d v="2021-02-22T00:00:00"/>
        <d v="2020-10-15T00:00:00"/>
        <d v="2021-01-13T00:00:00"/>
        <d v="2024-12-01T00:00:00"/>
        <d v="2024-02-22T00:00:00"/>
        <d v="2020-08-18T00:00:00"/>
        <d v="2022-10-14T00:00:00"/>
        <d v="2020-02-10T00:00:00"/>
        <d v="2022-11-17T00:00:00"/>
        <d v="2020-05-14T00:00:00"/>
        <d v="2020-07-19T00:00:00"/>
        <d v="2022-02-18T00:00:00"/>
        <d v="2022-07-18T00:00:00"/>
        <d v="2022-11-22T00:00:00"/>
        <d v="2022-12-07T00:00:00"/>
        <d v="2021-05-17T00:00:00"/>
        <d v="2021-02-10T00:00:00"/>
        <d v="2024-05-16T00:00:00"/>
        <d v="2024-10-17T00:00:00"/>
        <d v="2022-03-15T00:00:00"/>
        <d v="2020-04-08T00:00:00"/>
        <d v="2021-11-14T00:00:00"/>
        <d v="2021-12-26T00:00:00"/>
        <d v="2024-04-19T00:00:00"/>
        <d v="2022-08-18T00:00:00"/>
        <d v="2024-10-28T00:00:00"/>
        <d v="2021-09-04T00:00:00"/>
        <d v="2021-10-04T00:00:00"/>
        <d v="2024-11-27T00:00:00"/>
        <d v="2022-10-25T00:00:00"/>
        <d v="2023-05-26T00:00:00"/>
        <d v="2022-02-05T00:00:00"/>
        <d v="2021-02-01T00:00:00"/>
        <d v="2022-05-20T00:00:00"/>
        <d v="2022-03-05T00:00:00"/>
        <d v="2021-01-27T00:00:00"/>
        <d v="2020-07-25T00:00:00"/>
        <d v="2022-11-04T00:00:00"/>
        <d v="2024-04-26T00:00:00"/>
        <d v="2022-06-10T00:00:00"/>
        <d v="2024-01-24T00:00:00"/>
        <d v="2024-09-10T00:00:00"/>
        <d v="2024-05-17T00:00:00"/>
        <d v="2022-05-13T00:00:00"/>
        <d v="2022-01-12T00:00:00"/>
        <d v="2023-06-18T00:00:00"/>
        <d v="2021-07-17T00:00:00"/>
        <d v="2022-10-17T00:00:00"/>
        <d v="2020-04-05T00:00:00"/>
        <d v="2024-10-23T00:00:00"/>
        <d v="2021-04-29T00:00:00"/>
        <d v="2023-12-01T00:00:00"/>
        <d v="2022-01-18T00:00:00"/>
        <d v="2024-08-05T00:00:00"/>
        <d v="2023-04-09T00:00:00"/>
        <d v="2021-06-24T00:00:00"/>
        <d v="2022-11-25T00:00:00"/>
        <d v="2021-06-08T00:00:00"/>
        <d v="2023-03-29T00:00:00"/>
        <d v="2024-09-18T00:00:00"/>
        <d v="2023-06-20T00:00:00"/>
        <d v="2023-01-14T00:00:00"/>
        <d v="2024-12-24T00:00:00"/>
        <d v="2021-07-31T00:00:00"/>
        <d v="2021-11-12T00:00:00"/>
        <d v="2021-07-10T00:00:00"/>
        <d v="2022-10-09T00:00:00"/>
        <d v="2021-10-07T00:00:00"/>
        <d v="2022-03-06T00:00:00"/>
        <d v="2024-07-01T00:00:00"/>
        <d v="2024-12-26T00:00:00"/>
        <d v="2023-09-16T00:00:00"/>
        <d v="2024-07-21T00:00:00"/>
        <d v="2024-03-09T00:00:00"/>
        <d v="2023-10-03T00:00:00"/>
        <d v="2024-02-05T00:00:00"/>
        <d v="2023-06-08T00:00:00"/>
        <d v="2023-06-02T00:00:00"/>
        <d v="2023-11-09T00:00:00"/>
        <d v="2023-11-01T00:00:00"/>
        <d v="2023-07-30T00:00:00"/>
        <d v="2021-09-24T00:00:00"/>
        <d v="2021-09-19T00:00:00"/>
        <d v="2022-08-30T00:00:00"/>
        <d v="2024-11-03T00:00:00"/>
        <d v="2023-07-06T00:00:00"/>
        <d v="2023-10-14T00:00:00"/>
        <d v="2021-12-10T00:00:00"/>
        <d v="2024-01-19T00:00:00"/>
        <d v="2023-12-05T00:00:00"/>
        <d v="2021-10-10T00:00:00"/>
        <d v="2020-11-13T00:00:00"/>
        <d v="2024-08-27T00:00:00"/>
        <d v="2023-06-11T00:00:00"/>
        <d v="2021-10-25T00:00:00"/>
        <d v="2023-10-29T00:00:00"/>
        <d v="2024-08-22T00:00:00"/>
        <d v="2024-06-19T00:00:00"/>
        <d v="2023-06-10T00:00:00"/>
        <d v="2024-09-11T00:00:00"/>
        <d v="2023-02-10T00:00:00"/>
        <d v="2024-02-29T00:00:00"/>
        <d v="2021-03-17T00:00:00"/>
      </sharedItems>
      <fieldGroup par="22"/>
    </cacheField>
    <cacheField name="CustomerID" numFmtId="0">
      <sharedItems/>
    </cacheField>
    <cacheField name="CustomerName" numFmtId="0">
      <sharedItems/>
    </cacheField>
    <cacheField name="ProductID" numFmtId="0">
      <sharedItems/>
    </cacheField>
    <cacheField name="ProductName" numFmtId="0">
      <sharedItems/>
    </cacheField>
    <cacheField name="Category" numFmtId="0">
      <sharedItems count="6">
        <s v="Books"/>
        <s v="Home &amp; Kitchen"/>
        <s v="Clothing"/>
        <s v="Toys &amp; Games"/>
        <s v="Sports &amp; Outdoors"/>
        <s v="Electronics"/>
      </sharedItems>
    </cacheField>
    <cacheField name="Brand" numFmtId="0">
      <sharedItems count="10">
        <s v="BrightLux"/>
        <s v="UrbanStyle"/>
        <s v="Zenith"/>
        <s v="KiddoFun"/>
        <s v="ReadMore"/>
        <s v="Apex"/>
        <s v="HomeEase"/>
        <s v="FitLife"/>
        <s v="CoreTech"/>
        <s v="NexPro"/>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4.51" maxValue="598.75"/>
    </cacheField>
    <cacheField name="Discount" numFmtId="0">
      <sharedItems containsSemiMixedTypes="0" containsString="0" containsNumber="1" minValue="0" maxValue="0.3"/>
    </cacheField>
    <cacheField name="Tax" numFmtId="0">
      <sharedItems containsSemiMixedTypes="0" containsString="0" containsNumber="1" minValue="0" maxValue="405.63"/>
    </cacheField>
    <cacheField name="ShippingCost" numFmtId="0">
      <sharedItems containsSemiMixedTypes="0" containsString="0" containsNumber="1" minValue="0.02" maxValue="14.97"/>
    </cacheField>
    <cacheField name="TotalAmount" numFmtId="0">
      <sharedItems containsSemiMixedTypes="0" containsString="0" containsNumber="1" minValue="17.7" maxValue="3160.43"/>
    </cacheField>
    <cacheField name="PaymentMethod" numFmtId="0">
      <sharedItems count="6">
        <s v="Debit Card"/>
        <s v="Amazon Pay"/>
        <s v="Cash on Delivery"/>
        <s v="Credit Card"/>
        <s v="UPI"/>
        <s v="Net Banking"/>
      </sharedItems>
    </cacheField>
    <cacheField name="OrderStatus" numFmtId="0">
      <sharedItems/>
    </cacheField>
    <cacheField name="City" numFmtId="0">
      <sharedItems count="20">
        <s v="Washington"/>
        <s v="Fort Worth"/>
        <s v="Austin"/>
        <s v="Charlotte"/>
        <s v="San Antonio"/>
        <s v="Los Angeles"/>
        <s v="Chicago"/>
        <s v="Denver"/>
        <s v="Houston"/>
        <s v="Jacksonville"/>
        <s v="New York"/>
        <s v="Seattle"/>
        <s v="Indianapolis"/>
        <s v="Philadelphia"/>
        <s v="Phoenix"/>
        <s v="San Diego"/>
        <s v="Dallas"/>
        <s v="Columbus"/>
        <s v="San Francisco"/>
        <s v="San Jose"/>
      </sharedItems>
    </cacheField>
    <cacheField name="State" numFmtId="0">
      <sharedItems count="13">
        <s v="DC"/>
        <s v="TX"/>
        <s v="NC"/>
        <s v="CA"/>
        <s v="IL"/>
        <s v="CO"/>
        <s v="FL"/>
        <s v="NY"/>
        <s v="WA"/>
        <s v="IN"/>
        <s v="PA"/>
        <s v="AZ"/>
        <s v="OH"/>
      </sharedItems>
    </cacheField>
    <cacheField name="Country" numFmtId="0">
      <sharedItems count="5">
        <s v="India"/>
        <s v="United States"/>
        <s v="Canada"/>
        <s v="Australia"/>
        <s v="United Kingdom"/>
      </sharedItems>
    </cacheField>
    <cacheField name="SellerID" numFmtId="0">
      <sharedItems/>
    </cacheField>
    <cacheField name="Months (OrderDate)" numFmtId="0" databaseField="0">
      <fieldGroup base="1">
        <rangePr groupBy="months" startDate="2020-01-14T00:00:00" endDate="2024-12-27T00:00:00"/>
        <groupItems count="14">
          <s v="&lt;01/14/2020"/>
          <s v="Jan"/>
          <s v="Feb"/>
          <s v="Mar"/>
          <s v="Apr"/>
          <s v="May"/>
          <s v="Jun"/>
          <s v="Jul"/>
          <s v="Aug"/>
          <s v="Sep"/>
          <s v="Oct"/>
          <s v="Nov"/>
          <s v="Dec"/>
          <s v="&gt;12/27/2024"/>
        </groupItems>
      </fieldGroup>
    </cacheField>
    <cacheField name="Quarters (OrderDate)" numFmtId="0" databaseField="0">
      <fieldGroup base="1">
        <rangePr groupBy="quarters" startDate="2020-01-14T00:00:00" endDate="2024-12-27T00:00:00"/>
        <groupItems count="6">
          <s v="&lt;01/14/2020"/>
          <s v="Qtr1"/>
          <s v="Qtr2"/>
          <s v="Qtr3"/>
          <s v="Qtr4"/>
          <s v="&gt;12/27/2024"/>
        </groupItems>
      </fieldGroup>
    </cacheField>
    <cacheField name="Years (OrderDate)" numFmtId="0" databaseField="0">
      <fieldGroup base="1">
        <rangePr groupBy="years" startDate="2020-01-14T00:00:00" endDate="2024-12-27T00:00:00"/>
        <groupItems count="7">
          <s v="&lt;01/14/2020"/>
          <s v="2020"/>
          <s v="2021"/>
          <s v="2022"/>
          <s v="2023"/>
          <s v="2024"/>
          <s v="&gt;12/27/2024"/>
        </groupItems>
      </fieldGroup>
    </cacheField>
    <cacheField name="AOV" numFmtId="0" formula="TotalAmount/OrderID" databaseField="0"/>
  </cacheFields>
  <extLst>
    <ext xmlns:x14="http://schemas.microsoft.com/office/spreadsheetml/2009/9/main" uri="{725AE2AE-9491-48be-B2B4-4EB974FC3084}">
      <x14:pivotCacheDefinition pivotCacheId="531338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CUST001504"/>
    <s v="Vihaan Sharma"/>
    <s v="P00014"/>
    <s v="Drone Mini"/>
    <x v="0"/>
    <x v="0"/>
    <n v="3"/>
    <n v="106.59"/>
    <n v="0"/>
    <n v="0"/>
    <n v="0.09"/>
    <n v="319.86"/>
    <x v="0"/>
    <s v="Delivered"/>
    <x v="0"/>
    <x v="0"/>
    <x v="0"/>
    <s v="SELL01967"/>
  </r>
  <r>
    <x v="1"/>
    <x v="1"/>
    <s v="CUST000178"/>
    <s v="Pooja Kumar"/>
    <s v="P00040"/>
    <s v="Microphone"/>
    <x v="1"/>
    <x v="1"/>
    <n v="1"/>
    <n v="251.37"/>
    <n v="0.05"/>
    <n v="19.100000000000001"/>
    <n v="1.74"/>
    <n v="259.64"/>
    <x v="1"/>
    <s v="Delivered"/>
    <x v="1"/>
    <x v="1"/>
    <x v="1"/>
    <s v="SELL01298"/>
  </r>
  <r>
    <x v="2"/>
    <x v="2"/>
    <s v="CUST047516"/>
    <s v="Sneha Singh"/>
    <s v="P00044"/>
    <s v="Power Bank 20000mAh"/>
    <x v="2"/>
    <x v="1"/>
    <n v="3"/>
    <n v="35.03"/>
    <n v="0.1"/>
    <n v="7.57"/>
    <n v="5.91"/>
    <n v="108.06"/>
    <x v="0"/>
    <s v="Delivered"/>
    <x v="2"/>
    <x v="1"/>
    <x v="1"/>
    <s v="SELL00908"/>
  </r>
  <r>
    <x v="3"/>
    <x v="3"/>
    <s v="CUST030059"/>
    <s v="Vihaan Reddy"/>
    <s v="P00041"/>
    <s v="Webcam Full HD"/>
    <x v="1"/>
    <x v="2"/>
    <n v="5"/>
    <n v="33.58"/>
    <n v="0.15"/>
    <n v="11.42"/>
    <n v="5.53"/>
    <n v="159.66"/>
    <x v="2"/>
    <s v="Delivered"/>
    <x v="3"/>
    <x v="2"/>
    <x v="0"/>
    <s v="SELL01164"/>
  </r>
  <r>
    <x v="4"/>
    <x v="4"/>
    <s v="CUST048677"/>
    <s v="Aditya Kapoor"/>
    <s v="P00029"/>
    <s v="T-Shirt"/>
    <x v="2"/>
    <x v="3"/>
    <n v="2"/>
    <n v="515.64"/>
    <n v="0.25"/>
    <n v="38.67"/>
    <n v="9.23"/>
    <n v="821.36"/>
    <x v="3"/>
    <s v="Cancelled"/>
    <x v="4"/>
    <x v="1"/>
    <x v="2"/>
    <s v="SELL01411"/>
  </r>
  <r>
    <x v="5"/>
    <x v="5"/>
    <s v="CUST042705"/>
    <s v="Karan Sharma"/>
    <s v="P00023"/>
    <s v="Cookware Set"/>
    <x v="0"/>
    <x v="4"/>
    <n v="4"/>
    <n v="449.73"/>
    <n v="0"/>
    <n v="215.87"/>
    <n v="2.74"/>
    <n v="2017.53"/>
    <x v="4"/>
    <s v="Delivered"/>
    <x v="5"/>
    <x v="3"/>
    <x v="1"/>
    <s v="SELL01494"/>
  </r>
  <r>
    <x v="6"/>
    <x v="6"/>
    <s v="CUST037667"/>
    <s v="Aarav Verma"/>
    <s v="P00030"/>
    <s v="Dress Shirt"/>
    <x v="2"/>
    <x v="1"/>
    <n v="2"/>
    <n v="219.81"/>
    <n v="0.2"/>
    <n v="28.14"/>
    <n v="14.97"/>
    <n v="394.81"/>
    <x v="4"/>
    <s v="Delivered"/>
    <x v="6"/>
    <x v="4"/>
    <x v="3"/>
    <s v="SELL01676"/>
  </r>
  <r>
    <x v="7"/>
    <x v="7"/>
    <s v="CUST031165"/>
    <s v="Rohit Kumar"/>
    <s v="P00028"/>
    <s v="Jeans"/>
    <x v="3"/>
    <x v="3"/>
    <n v="2"/>
    <n v="306.51"/>
    <n v="0.05"/>
    <n v="29.12"/>
    <n v="6.24"/>
    <n v="617.73"/>
    <x v="0"/>
    <s v="Pending"/>
    <x v="7"/>
    <x v="5"/>
    <x v="0"/>
    <s v="SELL00510"/>
  </r>
  <r>
    <x v="8"/>
    <x v="8"/>
    <s v="CUST026965"/>
    <s v="Aman Kapoor"/>
    <s v="P00031"/>
    <s v="Kids Toy Car"/>
    <x v="4"/>
    <x v="5"/>
    <n v="4"/>
    <n v="146.09"/>
    <n v="0"/>
    <n v="46.75"/>
    <n v="7.03"/>
    <n v="638.14"/>
    <x v="0"/>
    <s v="Delivered"/>
    <x v="0"/>
    <x v="0"/>
    <x v="1"/>
    <s v="SELL01895"/>
  </r>
  <r>
    <x v="9"/>
    <x v="9"/>
    <s v="CUST029472"/>
    <s v="Aarav Reddy"/>
    <s v="P00001"/>
    <s v="Wireless Earbuds"/>
    <x v="2"/>
    <x v="5"/>
    <n v="2"/>
    <n v="278.20999999999998"/>
    <n v="0.1"/>
    <n v="60.09"/>
    <n v="4.88"/>
    <n v="565.75"/>
    <x v="3"/>
    <s v="Delivered"/>
    <x v="8"/>
    <x v="1"/>
    <x v="1"/>
    <s v="SELL01584"/>
  </r>
  <r>
    <x v="10"/>
    <x v="10"/>
    <s v="CUST005346"/>
    <s v="Rohit Reddy"/>
    <s v="P00046"/>
    <s v="Car Charger"/>
    <x v="0"/>
    <x v="6"/>
    <n v="1"/>
    <n v="141.41999999999999"/>
    <n v="0.05"/>
    <n v="6.72"/>
    <n v="9.6999999999999993"/>
    <n v="150.77000000000001"/>
    <x v="1"/>
    <s v="Delivered"/>
    <x v="9"/>
    <x v="6"/>
    <x v="3"/>
    <s v="SELL01217"/>
  </r>
  <r>
    <x v="11"/>
    <x v="11"/>
    <s v="CUST046088"/>
    <s v="Karan Kumar"/>
    <s v="P00042"/>
    <s v="Projector Mini"/>
    <x v="1"/>
    <x v="3"/>
    <n v="5"/>
    <n v="346.56"/>
    <n v="0.05"/>
    <n v="131.69"/>
    <n v="13.38"/>
    <n v="1791.23"/>
    <x v="3"/>
    <s v="Shipped"/>
    <x v="3"/>
    <x v="2"/>
    <x v="3"/>
    <s v="SELL01160"/>
  </r>
  <r>
    <x v="12"/>
    <x v="12"/>
    <s v="CUST026576"/>
    <s v="Simran Kapoor"/>
    <s v="P00018"/>
    <s v="Vacuum Cleaner"/>
    <x v="1"/>
    <x v="2"/>
    <n v="4"/>
    <n v="496.76"/>
    <n v="0.05"/>
    <n v="94.38"/>
    <n v="4.43"/>
    <n v="1986.5"/>
    <x v="4"/>
    <s v="Delivered"/>
    <x v="10"/>
    <x v="7"/>
    <x v="1"/>
    <s v="SELL00719"/>
  </r>
  <r>
    <x v="13"/>
    <x v="13"/>
    <s v="CUST006051"/>
    <s v="Pooja Sharma"/>
    <s v="P00040"/>
    <s v="Microphone"/>
    <x v="1"/>
    <x v="5"/>
    <n v="3"/>
    <n v="523.27"/>
    <n v="0"/>
    <n v="188.38"/>
    <n v="8.0399999999999991"/>
    <n v="1766.23"/>
    <x v="0"/>
    <s v="Shipped"/>
    <x v="11"/>
    <x v="8"/>
    <x v="1"/>
    <s v="SELL00672"/>
  </r>
  <r>
    <x v="14"/>
    <x v="14"/>
    <s v="CUST025111"/>
    <s v="Mohit Mehta"/>
    <s v="P00035"/>
    <s v="Desk Plant"/>
    <x v="0"/>
    <x v="6"/>
    <n v="4"/>
    <n v="291.37"/>
    <n v="0.1"/>
    <n v="52.45"/>
    <n v="1.76"/>
    <n v="1103.1400000000001"/>
    <x v="5"/>
    <s v="Delivered"/>
    <x v="12"/>
    <x v="9"/>
    <x v="1"/>
    <s v="SELL01541"/>
  </r>
  <r>
    <x v="15"/>
    <x v="15"/>
    <s v="CUST040957"/>
    <s v="Anjali Gupta"/>
    <s v="P00028"/>
    <s v="Jeans"/>
    <x v="4"/>
    <x v="6"/>
    <n v="4"/>
    <n v="533.12"/>
    <n v="0.25"/>
    <n v="79.97"/>
    <n v="2.58"/>
    <n v="1681.91"/>
    <x v="1"/>
    <s v="Delivered"/>
    <x v="9"/>
    <x v="6"/>
    <x v="1"/>
    <s v="SELL00437"/>
  </r>
  <r>
    <x v="16"/>
    <x v="16"/>
    <s v="CUST000735"/>
    <s v="Arjun Kumar"/>
    <s v="P00025"/>
    <s v="Running Shoes"/>
    <x v="1"/>
    <x v="2"/>
    <n v="4"/>
    <n v="453.47"/>
    <n v="0.1"/>
    <n v="0"/>
    <n v="4.3899999999999997"/>
    <n v="1636.88"/>
    <x v="1"/>
    <s v="Delivered"/>
    <x v="13"/>
    <x v="10"/>
    <x v="1"/>
    <s v="SELL01971"/>
  </r>
  <r>
    <x v="17"/>
    <x v="17"/>
    <s v="CUST038237"/>
    <s v="Anjali Verma"/>
    <s v="P00039"/>
    <s v="Graphic Tablet"/>
    <x v="3"/>
    <x v="3"/>
    <n v="5"/>
    <n v="547.58000000000004"/>
    <n v="0"/>
    <n v="0"/>
    <n v="10.06"/>
    <n v="2747.96"/>
    <x v="1"/>
    <s v="Delivered"/>
    <x v="11"/>
    <x v="8"/>
    <x v="1"/>
    <s v="SELL00132"/>
  </r>
  <r>
    <x v="18"/>
    <x v="18"/>
    <s v="CUST040211"/>
    <s v="Aditya Mehta"/>
    <s v="P00033"/>
    <s v="Puzzle 1000pc"/>
    <x v="5"/>
    <x v="4"/>
    <n v="5"/>
    <n v="529.19000000000005"/>
    <n v="0"/>
    <n v="317.51"/>
    <n v="4.57"/>
    <n v="2968.03"/>
    <x v="1"/>
    <s v="Returned"/>
    <x v="14"/>
    <x v="11"/>
    <x v="1"/>
    <s v="SELL01907"/>
  </r>
  <r>
    <x v="19"/>
    <x v="19"/>
    <s v="CUST046893"/>
    <s v="Vihaan Patel"/>
    <s v="P00040"/>
    <s v="Microphone"/>
    <x v="4"/>
    <x v="6"/>
    <n v="3"/>
    <n v="303.52999999999997"/>
    <n v="0"/>
    <n v="72.849999999999994"/>
    <n v="4.18"/>
    <n v="987.62"/>
    <x v="4"/>
    <s v="Delivered"/>
    <x v="15"/>
    <x v="3"/>
    <x v="1"/>
    <s v="SELL00881"/>
  </r>
  <r>
    <x v="20"/>
    <x v="20"/>
    <s v="CUST041508"/>
    <s v="Vikas Kapoor"/>
    <s v="P00028"/>
    <s v="Jeans"/>
    <x v="3"/>
    <x v="5"/>
    <n v="1"/>
    <n v="226.26"/>
    <n v="0"/>
    <n v="11.31"/>
    <n v="9.5500000000000007"/>
    <n v="247.12"/>
    <x v="3"/>
    <s v="Delivered"/>
    <x v="1"/>
    <x v="1"/>
    <x v="1"/>
    <s v="SELL01947"/>
  </r>
  <r>
    <x v="21"/>
    <x v="21"/>
    <s v="CUST048817"/>
    <s v="Pooja Sharma"/>
    <s v="P00010"/>
    <s v="Smartwatch"/>
    <x v="0"/>
    <x v="4"/>
    <n v="4"/>
    <n v="493.47"/>
    <n v="0"/>
    <n v="98.69"/>
    <n v="11.8"/>
    <n v="2084.37"/>
    <x v="3"/>
    <s v="Delivered"/>
    <x v="6"/>
    <x v="4"/>
    <x v="3"/>
    <s v="SELL01672"/>
  </r>
  <r>
    <x v="22"/>
    <x v="22"/>
    <s v="CUST048828"/>
    <s v="Simran Reddy"/>
    <s v="P00003"/>
    <s v="Smartphone Case"/>
    <x v="3"/>
    <x v="5"/>
    <n v="5"/>
    <n v="452.12"/>
    <n v="0"/>
    <n v="113.03"/>
    <n v="9.6199999999999992"/>
    <n v="2383.25"/>
    <x v="0"/>
    <s v="Delivered"/>
    <x v="14"/>
    <x v="11"/>
    <x v="2"/>
    <s v="SELL01102"/>
  </r>
  <r>
    <x v="23"/>
    <x v="23"/>
    <s v="CUST033080"/>
    <s v="Vihaan Mehta"/>
    <s v="P00021"/>
    <s v="Backpack"/>
    <x v="5"/>
    <x v="4"/>
    <n v="3"/>
    <n v="107.95"/>
    <n v="0.1"/>
    <n v="0"/>
    <n v="8.2899999999999991"/>
    <n v="299.76"/>
    <x v="5"/>
    <s v="Delivered"/>
    <x v="16"/>
    <x v="1"/>
    <x v="1"/>
    <s v="SELL01507"/>
  </r>
  <r>
    <x v="24"/>
    <x v="24"/>
    <s v="CUST041929"/>
    <s v="Aditya Reddy"/>
    <s v="P00008"/>
    <s v="4K Monitor"/>
    <x v="3"/>
    <x v="3"/>
    <n v="1"/>
    <n v="16.68"/>
    <n v="0.15"/>
    <n v="1.1299999999999999"/>
    <n v="2.39"/>
    <n v="17.7"/>
    <x v="3"/>
    <s v="Delivered"/>
    <x v="9"/>
    <x v="6"/>
    <x v="1"/>
    <s v="SELL01553"/>
  </r>
  <r>
    <x v="25"/>
    <x v="25"/>
    <s v="CUST035043"/>
    <s v="Priya Kapoor"/>
    <s v="P00030"/>
    <s v="Dress Shirt"/>
    <x v="2"/>
    <x v="5"/>
    <n v="4"/>
    <n v="380.23"/>
    <n v="0.2"/>
    <n v="60.84"/>
    <n v="9.2799999999999994"/>
    <n v="1286.8599999999999"/>
    <x v="1"/>
    <s v="Pending"/>
    <x v="17"/>
    <x v="12"/>
    <x v="2"/>
    <s v="SELL00342"/>
  </r>
  <r>
    <x v="26"/>
    <x v="26"/>
    <s v="CUST043777"/>
    <s v="Vikas Kapoor"/>
    <s v="P00036"/>
    <s v="Smart Light Bulb"/>
    <x v="3"/>
    <x v="1"/>
    <n v="3"/>
    <n v="569.69000000000005"/>
    <n v="0.25"/>
    <n v="153.82"/>
    <n v="14.27"/>
    <n v="1449.89"/>
    <x v="3"/>
    <s v="Delivered"/>
    <x v="18"/>
    <x v="3"/>
    <x v="1"/>
    <s v="SELL01129"/>
  </r>
  <r>
    <x v="27"/>
    <x v="27"/>
    <s v="CUST037985"/>
    <s v="Rohit Verma"/>
    <s v="P00019"/>
    <s v="LED Desk Lamp"/>
    <x v="0"/>
    <x v="6"/>
    <n v="3"/>
    <n v="138.33000000000001"/>
    <n v="0"/>
    <n v="49.8"/>
    <n v="3.37"/>
    <n v="468.16"/>
    <x v="0"/>
    <s v="Delivered"/>
    <x v="4"/>
    <x v="1"/>
    <x v="4"/>
    <s v="SELL01796"/>
  </r>
  <r>
    <x v="28"/>
    <x v="28"/>
    <s v="CUST000721"/>
    <s v="Vivaan Kumar"/>
    <s v="P00036"/>
    <s v="Smart Light Bulb"/>
    <x v="5"/>
    <x v="2"/>
    <n v="3"/>
    <n v="381.45"/>
    <n v="0"/>
    <n v="205.98"/>
    <n v="8.99"/>
    <n v="1359.32"/>
    <x v="3"/>
    <s v="Delivered"/>
    <x v="7"/>
    <x v="5"/>
    <x v="1"/>
    <s v="SELL01715"/>
  </r>
  <r>
    <x v="29"/>
    <x v="29"/>
    <s v="CUST008013"/>
    <s v="Priya Verma"/>
    <s v="P00045"/>
    <s v="Phone Tripod"/>
    <x v="3"/>
    <x v="4"/>
    <n v="5"/>
    <n v="199.99"/>
    <n v="0"/>
    <n v="179.99"/>
    <n v="5.19"/>
    <n v="1185.1300000000001"/>
    <x v="4"/>
    <s v="Delivered"/>
    <x v="14"/>
    <x v="11"/>
    <x v="1"/>
    <s v="SELL00874"/>
  </r>
  <r>
    <x v="30"/>
    <x v="30"/>
    <s v="CUST018693"/>
    <s v="Sneha Verma"/>
    <s v="P00046"/>
    <s v="Car Charger"/>
    <x v="0"/>
    <x v="5"/>
    <n v="2"/>
    <n v="269.8"/>
    <n v="0"/>
    <n v="97.13"/>
    <n v="1.49"/>
    <n v="638.22"/>
    <x v="0"/>
    <s v="Delivered"/>
    <x v="3"/>
    <x v="2"/>
    <x v="4"/>
    <s v="SELL01318"/>
  </r>
  <r>
    <x v="31"/>
    <x v="31"/>
    <s v="CUST044089"/>
    <s v="Sunita Gupta"/>
    <s v="P00006"/>
    <s v="Gaming Mouse"/>
    <x v="4"/>
    <x v="7"/>
    <n v="4"/>
    <n v="126.5"/>
    <n v="0.1"/>
    <n v="22.77"/>
    <n v="7.01"/>
    <n v="485.18"/>
    <x v="3"/>
    <s v="Shipped"/>
    <x v="8"/>
    <x v="1"/>
    <x v="0"/>
    <s v="SELL00384"/>
  </r>
  <r>
    <x v="32"/>
    <x v="32"/>
    <s v="CUST011946"/>
    <s v="Simran Patel"/>
    <s v="P00047"/>
    <s v="Memory Card 128GB"/>
    <x v="5"/>
    <x v="8"/>
    <n v="2"/>
    <n v="151.94999999999999"/>
    <n v="0.05"/>
    <n v="14.44"/>
    <n v="3.5"/>
    <n v="306.64"/>
    <x v="3"/>
    <s v="Delivered"/>
    <x v="0"/>
    <x v="0"/>
    <x v="1"/>
    <s v="SELL01798"/>
  </r>
  <r>
    <x v="33"/>
    <x v="33"/>
    <s v="CUST049225"/>
    <s v="Mohit Patel"/>
    <s v="P00046"/>
    <s v="Car Charger"/>
    <x v="2"/>
    <x v="6"/>
    <n v="1"/>
    <n v="218.74"/>
    <n v="0"/>
    <n v="10.94"/>
    <n v="12.22"/>
    <n v="241.9"/>
    <x v="3"/>
    <s v="Delivered"/>
    <x v="2"/>
    <x v="1"/>
    <x v="1"/>
    <s v="SELL00219"/>
  </r>
  <r>
    <x v="34"/>
    <x v="34"/>
    <s v="CUST048518"/>
    <s v="Vikas Kumar"/>
    <s v="P00021"/>
    <s v="Backpack"/>
    <x v="4"/>
    <x v="0"/>
    <n v="5"/>
    <n v="294.8"/>
    <n v="0.1"/>
    <n v="159.19"/>
    <n v="4.08"/>
    <n v="1489.87"/>
    <x v="3"/>
    <s v="Shipped"/>
    <x v="1"/>
    <x v="1"/>
    <x v="1"/>
    <s v="SELL01619"/>
  </r>
  <r>
    <x v="35"/>
    <x v="35"/>
    <s v="CUST047957"/>
    <s v="Pooja Verma"/>
    <s v="P00033"/>
    <s v="Puzzle 1000pc"/>
    <x v="0"/>
    <x v="0"/>
    <n v="1"/>
    <n v="357.76"/>
    <n v="0.25"/>
    <n v="0"/>
    <n v="6.76"/>
    <n v="275.08"/>
    <x v="1"/>
    <s v="Delivered"/>
    <x v="17"/>
    <x v="12"/>
    <x v="4"/>
    <s v="SELL01592"/>
  </r>
  <r>
    <x v="36"/>
    <x v="36"/>
    <s v="CUST043577"/>
    <s v="Kabir Singh"/>
    <s v="P00032"/>
    <s v="Board Game"/>
    <x v="5"/>
    <x v="8"/>
    <n v="5"/>
    <n v="448.89"/>
    <n v="0"/>
    <n v="179.56"/>
    <n v="3.3"/>
    <n v="2427.31"/>
    <x v="3"/>
    <s v="Delivered"/>
    <x v="14"/>
    <x v="11"/>
    <x v="1"/>
    <s v="SELL00755"/>
  </r>
  <r>
    <x v="37"/>
    <x v="37"/>
    <s v="CUST029566"/>
    <s v="Sahil Kumar"/>
    <s v="P00015"/>
    <s v="Instant Pot"/>
    <x v="5"/>
    <x v="4"/>
    <n v="4"/>
    <n v="300.89"/>
    <n v="0"/>
    <n v="144.43"/>
    <n v="0.43"/>
    <n v="1348.42"/>
    <x v="3"/>
    <s v="Delivered"/>
    <x v="1"/>
    <x v="1"/>
    <x v="1"/>
    <s v="SELL01262"/>
  </r>
  <r>
    <x v="38"/>
    <x v="38"/>
    <s v="CUST004199"/>
    <s v="Mohit Joshi"/>
    <s v="P00040"/>
    <s v="Microphone"/>
    <x v="1"/>
    <x v="7"/>
    <n v="5"/>
    <n v="512.88"/>
    <n v="0.25"/>
    <n v="96.17"/>
    <n v="11.33"/>
    <n v="2030.8"/>
    <x v="1"/>
    <s v="Delivered"/>
    <x v="4"/>
    <x v="1"/>
    <x v="4"/>
    <s v="SELL00566"/>
  </r>
  <r>
    <x v="39"/>
    <x v="39"/>
    <s v="CUST042096"/>
    <s v="Sunita Gupta"/>
    <s v="P00010"/>
    <s v="Smartwatch"/>
    <x v="0"/>
    <x v="6"/>
    <n v="2"/>
    <n v="81.819999999999993"/>
    <n v="0.1"/>
    <n v="7.36"/>
    <n v="4.47"/>
    <n v="159.11000000000001"/>
    <x v="3"/>
    <s v="Delivered"/>
    <x v="9"/>
    <x v="6"/>
    <x v="1"/>
    <s v="SELL01049"/>
  </r>
  <r>
    <x v="40"/>
    <x v="40"/>
    <s v="CUST017203"/>
    <s v="Sahil Kumar"/>
    <s v="P00035"/>
    <s v="Desk Plant"/>
    <x v="4"/>
    <x v="2"/>
    <n v="3"/>
    <n v="215.9"/>
    <n v="0"/>
    <n v="77.72"/>
    <n v="8.4499999999999993"/>
    <n v="733.87"/>
    <x v="4"/>
    <s v="Delivered"/>
    <x v="6"/>
    <x v="4"/>
    <x v="1"/>
    <s v="SELL00369"/>
  </r>
  <r>
    <x v="41"/>
    <x v="41"/>
    <s v="CUST046853"/>
    <s v="Anjali Sharma"/>
    <s v="P00022"/>
    <s v="Water Bottle"/>
    <x v="0"/>
    <x v="6"/>
    <n v="5"/>
    <n v="574.28"/>
    <n v="0.1"/>
    <n v="129.21"/>
    <n v="2.23"/>
    <n v="2715.7"/>
    <x v="0"/>
    <s v="Delivered"/>
    <x v="4"/>
    <x v="1"/>
    <x v="1"/>
    <s v="SELL01983"/>
  </r>
  <r>
    <x v="42"/>
    <x v="42"/>
    <s v="CUST020850"/>
    <s v="Sneha Sharma"/>
    <s v="P00031"/>
    <s v="Kids Toy Car"/>
    <x v="1"/>
    <x v="7"/>
    <n v="4"/>
    <n v="109.59"/>
    <n v="0"/>
    <n v="35.07"/>
    <n v="7.59"/>
    <n v="481.02"/>
    <x v="1"/>
    <s v="Delivered"/>
    <x v="15"/>
    <x v="3"/>
    <x v="0"/>
    <s v="SELL00959"/>
  </r>
  <r>
    <x v="43"/>
    <x v="43"/>
    <s v="CUST039744"/>
    <s v="Anjali Mehta"/>
    <s v="P00025"/>
    <s v="Running Shoes"/>
    <x v="3"/>
    <x v="6"/>
    <n v="3"/>
    <n v="88.46"/>
    <n v="0.15"/>
    <n v="40.6"/>
    <n v="2.73"/>
    <n v="268.89999999999998"/>
    <x v="3"/>
    <s v="Cancelled"/>
    <x v="4"/>
    <x v="1"/>
    <x v="1"/>
    <s v="SELL00076"/>
  </r>
  <r>
    <x v="44"/>
    <x v="44"/>
    <s v="CUST017434"/>
    <s v="Pooja Verma"/>
    <s v="P00035"/>
    <s v="Desk Plant"/>
    <x v="5"/>
    <x v="5"/>
    <n v="4"/>
    <n v="395.64"/>
    <n v="0.05"/>
    <n v="120.27"/>
    <n v="3.89"/>
    <n v="1627.59"/>
    <x v="0"/>
    <s v="Delivered"/>
    <x v="8"/>
    <x v="1"/>
    <x v="1"/>
    <s v="SELL00898"/>
  </r>
  <r>
    <x v="45"/>
    <x v="45"/>
    <s v="CUST045893"/>
    <s v="Rohit Kapoor"/>
    <s v="P00009"/>
    <s v="Portable SSD 1TB"/>
    <x v="3"/>
    <x v="6"/>
    <n v="2"/>
    <n v="449.14"/>
    <n v="0.05"/>
    <n v="0"/>
    <n v="5.62"/>
    <n v="858.99"/>
    <x v="0"/>
    <s v="Delivered"/>
    <x v="10"/>
    <x v="7"/>
    <x v="1"/>
    <s v="SELL00181"/>
  </r>
  <r>
    <x v="46"/>
    <x v="46"/>
    <s v="CUST033696"/>
    <s v="Anjali Kumar"/>
    <s v="P00039"/>
    <s v="Graphic Tablet"/>
    <x v="5"/>
    <x v="8"/>
    <n v="4"/>
    <n v="121.45"/>
    <n v="0"/>
    <n v="0"/>
    <n v="3.75"/>
    <n v="489.55"/>
    <x v="4"/>
    <s v="Delivered"/>
    <x v="2"/>
    <x v="1"/>
    <x v="1"/>
    <s v="SELL01805"/>
  </r>
  <r>
    <x v="47"/>
    <x v="47"/>
    <s v="CUST032008"/>
    <s v="Neha Mehta"/>
    <s v="P00030"/>
    <s v="Dress Shirt"/>
    <x v="3"/>
    <x v="7"/>
    <n v="2"/>
    <n v="140.88999999999999"/>
    <n v="0.05"/>
    <n v="21.42"/>
    <n v="0.48"/>
    <n v="289.58999999999997"/>
    <x v="0"/>
    <s v="Delivered"/>
    <x v="15"/>
    <x v="3"/>
    <x v="3"/>
    <s v="SELL00438"/>
  </r>
  <r>
    <x v="48"/>
    <x v="48"/>
    <s v="CUST011785"/>
    <s v="Simran Singh"/>
    <s v="P00014"/>
    <s v="Drone Mini"/>
    <x v="0"/>
    <x v="4"/>
    <n v="3"/>
    <n v="249.84"/>
    <n v="0.2"/>
    <n v="47.97"/>
    <n v="3.26"/>
    <n v="650.85"/>
    <x v="0"/>
    <s v="Delivered"/>
    <x v="4"/>
    <x v="1"/>
    <x v="3"/>
    <s v="SELL01660"/>
  </r>
  <r>
    <x v="49"/>
    <x v="49"/>
    <s v="CUST001846"/>
    <s v="Pooja Singh"/>
    <s v="P00012"/>
    <s v="Noise Cancelling Headphones"/>
    <x v="0"/>
    <x v="3"/>
    <n v="3"/>
    <n v="482.37"/>
    <n v="0.15"/>
    <n v="61.5"/>
    <n v="8.73"/>
    <n v="1300.27"/>
    <x v="5"/>
    <s v="Delivered"/>
    <x v="19"/>
    <x v="3"/>
    <x v="0"/>
    <s v="SELL01908"/>
  </r>
  <r>
    <x v="50"/>
    <x v="48"/>
    <s v="CUST048348"/>
    <s v="Sneha Reddy"/>
    <s v="P00047"/>
    <s v="Memory Card 128GB"/>
    <x v="0"/>
    <x v="7"/>
    <n v="3"/>
    <n v="244.83"/>
    <n v="0.25"/>
    <n v="0"/>
    <n v="8.07"/>
    <n v="558.94000000000005"/>
    <x v="2"/>
    <s v="Delivered"/>
    <x v="19"/>
    <x v="3"/>
    <x v="3"/>
    <s v="SELL00078"/>
  </r>
  <r>
    <x v="51"/>
    <x v="50"/>
    <s v="CUST027076"/>
    <s v="Sahil Gupta"/>
    <s v="P00039"/>
    <s v="Graphic Tablet"/>
    <x v="5"/>
    <x v="1"/>
    <n v="4"/>
    <n v="353.85"/>
    <n v="0.05"/>
    <n v="67.23"/>
    <n v="6.09"/>
    <n v="1417.95"/>
    <x v="0"/>
    <s v="Delivered"/>
    <x v="17"/>
    <x v="12"/>
    <x v="1"/>
    <s v="SELL00659"/>
  </r>
  <r>
    <x v="52"/>
    <x v="51"/>
    <s v="CUST012995"/>
    <s v="Ritika Mehta"/>
    <s v="P00050"/>
    <s v="Novel Bestseller"/>
    <x v="5"/>
    <x v="9"/>
    <n v="3"/>
    <n v="324.76"/>
    <n v="0.3"/>
    <n v="34.1"/>
    <n v="0.75"/>
    <n v="716.85"/>
    <x v="0"/>
    <s v="Shipped"/>
    <x v="11"/>
    <x v="8"/>
    <x v="1"/>
    <s v="SELL00962"/>
  </r>
  <r>
    <x v="53"/>
    <x v="52"/>
    <s v="CUST030633"/>
    <s v="Ritika Mehta"/>
    <s v="P00049"/>
    <s v="Children's Book"/>
    <x v="4"/>
    <x v="7"/>
    <n v="1"/>
    <n v="491.78"/>
    <n v="0.1"/>
    <n v="53.11"/>
    <n v="5.14"/>
    <n v="500.85"/>
    <x v="1"/>
    <s v="Delivered"/>
    <x v="3"/>
    <x v="2"/>
    <x v="0"/>
    <s v="SELL01002"/>
  </r>
  <r>
    <x v="54"/>
    <x v="53"/>
    <s v="CUST013482"/>
    <s v="Vikas Kumar"/>
    <s v="P00044"/>
    <s v="Power Bank 20000mAh"/>
    <x v="5"/>
    <x v="9"/>
    <n v="4"/>
    <n v="549.22"/>
    <n v="0.05"/>
    <n v="104.35"/>
    <n v="8.2200000000000006"/>
    <n v="2199.61"/>
    <x v="4"/>
    <s v="Delivered"/>
    <x v="6"/>
    <x v="4"/>
    <x v="1"/>
    <s v="SELL01805"/>
  </r>
  <r>
    <x v="55"/>
    <x v="54"/>
    <s v="CUST030091"/>
    <s v="Arjun Reddy"/>
    <s v="P00044"/>
    <s v="Power Bank 20000mAh"/>
    <x v="1"/>
    <x v="5"/>
    <n v="4"/>
    <n v="364.08"/>
    <n v="0.25"/>
    <n v="131.07"/>
    <n v="12.95"/>
    <n v="1236.26"/>
    <x v="3"/>
    <s v="Pending"/>
    <x v="6"/>
    <x v="4"/>
    <x v="1"/>
    <s v="SELL01113"/>
  </r>
  <r>
    <x v="56"/>
    <x v="55"/>
    <s v="CUST031856"/>
    <s v="Neha Verma"/>
    <s v="P00022"/>
    <s v="Water Bottle"/>
    <x v="4"/>
    <x v="6"/>
    <n v="2"/>
    <n v="509.59"/>
    <n v="0"/>
    <n v="183.45"/>
    <n v="3.79"/>
    <n v="1206.42"/>
    <x v="3"/>
    <s v="Shipped"/>
    <x v="19"/>
    <x v="3"/>
    <x v="1"/>
    <s v="SELL00723"/>
  </r>
  <r>
    <x v="57"/>
    <x v="56"/>
    <s v="CUST040925"/>
    <s v="Vivaan Verma"/>
    <s v="P00005"/>
    <s v="Laptop Sleeve"/>
    <x v="2"/>
    <x v="1"/>
    <n v="5"/>
    <n v="182.55"/>
    <n v="0"/>
    <n v="45.64"/>
    <n v="12.08"/>
    <n v="970.47"/>
    <x v="4"/>
    <s v="Delivered"/>
    <x v="15"/>
    <x v="3"/>
    <x v="2"/>
    <s v="SELL01920"/>
  </r>
  <r>
    <x v="58"/>
    <x v="57"/>
    <s v="CUST031615"/>
    <s v="Arjun Singh"/>
    <s v="P00016"/>
    <s v="Air Fryer"/>
    <x v="3"/>
    <x v="5"/>
    <n v="3"/>
    <n v="184.7"/>
    <n v="0.3"/>
    <n v="46.54"/>
    <n v="7.98"/>
    <n v="442.39"/>
    <x v="0"/>
    <s v="Delivered"/>
    <x v="16"/>
    <x v="1"/>
    <x v="1"/>
    <s v="SELL00280"/>
  </r>
  <r>
    <x v="59"/>
    <x v="58"/>
    <s v="CUST018312"/>
    <s v="Karan Kapoor"/>
    <s v="P00027"/>
    <s v="Winter Jacket"/>
    <x v="5"/>
    <x v="9"/>
    <n v="2"/>
    <n v="439.8"/>
    <n v="0"/>
    <n v="43.98"/>
    <n v="7.55"/>
    <n v="931.13"/>
    <x v="1"/>
    <s v="Delivered"/>
    <x v="9"/>
    <x v="6"/>
    <x v="0"/>
    <s v="SELL00446"/>
  </r>
  <r>
    <x v="60"/>
    <x v="59"/>
    <s v="CUST017070"/>
    <s v="Aditya Mehta"/>
    <s v="P00037"/>
    <s v="Router"/>
    <x v="0"/>
    <x v="0"/>
    <n v="4"/>
    <n v="593.02"/>
    <n v="0.05"/>
    <n v="405.63"/>
    <n v="9.18"/>
    <n v="2668.29"/>
    <x v="4"/>
    <s v="Shipped"/>
    <x v="2"/>
    <x v="1"/>
    <x v="0"/>
    <s v="SELL00106"/>
  </r>
  <r>
    <x v="61"/>
    <x v="60"/>
    <s v="CUST026591"/>
    <s v="Sunita Kapoor"/>
    <s v="P00025"/>
    <s v="Running Shoes"/>
    <x v="1"/>
    <x v="4"/>
    <n v="3"/>
    <n v="131.36000000000001"/>
    <n v="0"/>
    <n v="70.930000000000007"/>
    <n v="7.25"/>
    <n v="472.26"/>
    <x v="4"/>
    <s v="Delivered"/>
    <x v="3"/>
    <x v="2"/>
    <x v="2"/>
    <s v="SELL00247"/>
  </r>
  <r>
    <x v="62"/>
    <x v="61"/>
    <s v="CUST006724"/>
    <s v="Simran Reddy"/>
    <s v="P00004"/>
    <s v="USB-C Charger"/>
    <x v="3"/>
    <x v="6"/>
    <n v="3"/>
    <n v="71.260000000000005"/>
    <n v="0.1"/>
    <n v="23.09"/>
    <n v="11.28"/>
    <n v="226.77"/>
    <x v="3"/>
    <s v="Returned"/>
    <x v="1"/>
    <x v="1"/>
    <x v="1"/>
    <s v="SELL00011"/>
  </r>
  <r>
    <x v="63"/>
    <x v="62"/>
    <s v="CUST026258"/>
    <s v="Pooja Reddy"/>
    <s v="P00037"/>
    <s v="Router"/>
    <x v="0"/>
    <x v="8"/>
    <n v="5"/>
    <n v="107.11"/>
    <n v="0.05"/>
    <n v="25.44"/>
    <n v="12.92"/>
    <n v="547.13"/>
    <x v="4"/>
    <s v="Delivered"/>
    <x v="6"/>
    <x v="4"/>
    <x v="1"/>
    <s v="SELL01006"/>
  </r>
  <r>
    <x v="64"/>
    <x v="63"/>
    <s v="CUST000139"/>
    <s v="Aarav Verma"/>
    <s v="P00039"/>
    <s v="Graphic Tablet"/>
    <x v="3"/>
    <x v="2"/>
    <n v="5"/>
    <n v="417.28"/>
    <n v="0.15"/>
    <n v="88.67"/>
    <n v="9.65"/>
    <n v="1871.76"/>
    <x v="1"/>
    <s v="Returned"/>
    <x v="5"/>
    <x v="3"/>
    <x v="0"/>
    <s v="SELL01242"/>
  </r>
  <r>
    <x v="65"/>
    <x v="64"/>
    <s v="CUST038107"/>
    <s v="Sahil Gupta"/>
    <s v="P00037"/>
    <s v="Router"/>
    <x v="0"/>
    <x v="7"/>
    <n v="2"/>
    <n v="559.03"/>
    <n v="0.1"/>
    <n v="50.31"/>
    <n v="11.62"/>
    <n v="1068.18"/>
    <x v="1"/>
    <s v="Delivered"/>
    <x v="12"/>
    <x v="9"/>
    <x v="1"/>
    <s v="SELL01704"/>
  </r>
  <r>
    <x v="66"/>
    <x v="65"/>
    <s v="CUST015763"/>
    <s v="Anjali Verma"/>
    <s v="P00046"/>
    <s v="Car Charger"/>
    <x v="1"/>
    <x v="0"/>
    <n v="4"/>
    <n v="203.84"/>
    <n v="0.1"/>
    <n v="36.69"/>
    <n v="13.68"/>
    <n v="784.19"/>
    <x v="5"/>
    <s v="Delivered"/>
    <x v="3"/>
    <x v="2"/>
    <x v="0"/>
    <s v="SELL01548"/>
  </r>
  <r>
    <x v="67"/>
    <x v="66"/>
    <s v="CUST041458"/>
    <s v="Priya Mehta"/>
    <s v="P00008"/>
    <s v="4K Monitor"/>
    <x v="2"/>
    <x v="2"/>
    <n v="4"/>
    <n v="129.9"/>
    <n v="0.05"/>
    <n v="59.23"/>
    <n v="9.1300000000000008"/>
    <n v="561.98"/>
    <x v="5"/>
    <s v="Delivered"/>
    <x v="12"/>
    <x v="9"/>
    <x v="1"/>
    <s v="SELL00532"/>
  </r>
  <r>
    <x v="68"/>
    <x v="67"/>
    <s v="CUST033817"/>
    <s v="Mohit Joshi"/>
    <s v="P00050"/>
    <s v="Novel Bestseller"/>
    <x v="0"/>
    <x v="9"/>
    <n v="5"/>
    <n v="105.16"/>
    <n v="0"/>
    <n v="26.29"/>
    <n v="13.29"/>
    <n v="565.38"/>
    <x v="4"/>
    <s v="Delivered"/>
    <x v="17"/>
    <x v="12"/>
    <x v="1"/>
    <s v="SELL01811"/>
  </r>
  <r>
    <x v="69"/>
    <x v="68"/>
    <s v="CUST041366"/>
    <s v="Aarav Gupta"/>
    <s v="P00041"/>
    <s v="Webcam Full HD"/>
    <x v="5"/>
    <x v="0"/>
    <n v="1"/>
    <n v="82.79"/>
    <n v="0"/>
    <n v="6.62"/>
    <n v="8.76"/>
    <n v="98.17"/>
    <x v="0"/>
    <s v="Delivered"/>
    <x v="7"/>
    <x v="5"/>
    <x v="1"/>
    <s v="SELL01501"/>
  </r>
  <r>
    <x v="70"/>
    <x v="69"/>
    <s v="CUST005372"/>
    <s v="Aman Singh"/>
    <s v="P00022"/>
    <s v="Water Bottle"/>
    <x v="4"/>
    <x v="2"/>
    <n v="4"/>
    <n v="433.7"/>
    <n v="0.15"/>
    <n v="176.95"/>
    <n v="10.58"/>
    <n v="1662.11"/>
    <x v="0"/>
    <s v="Delivered"/>
    <x v="19"/>
    <x v="3"/>
    <x v="1"/>
    <s v="SELL01168"/>
  </r>
  <r>
    <x v="71"/>
    <x v="70"/>
    <s v="CUST018135"/>
    <s v="Aman Verma"/>
    <s v="P00011"/>
    <s v="Fitness Band"/>
    <x v="1"/>
    <x v="2"/>
    <n v="3"/>
    <n v="137.1"/>
    <n v="0"/>
    <n v="32.9"/>
    <n v="12.88"/>
    <n v="457.08"/>
    <x v="1"/>
    <s v="Shipped"/>
    <x v="9"/>
    <x v="6"/>
    <x v="1"/>
    <s v="SELL01780"/>
  </r>
  <r>
    <x v="72"/>
    <x v="71"/>
    <s v="CUST043454"/>
    <s v="Priya Reddy"/>
    <s v="P00027"/>
    <s v="Winter Jacket"/>
    <x v="3"/>
    <x v="8"/>
    <n v="5"/>
    <n v="582.66"/>
    <n v="0"/>
    <n v="233.06"/>
    <n v="14.07"/>
    <n v="3160.43"/>
    <x v="4"/>
    <s v="Shipped"/>
    <x v="16"/>
    <x v="1"/>
    <x v="1"/>
    <s v="SELL00749"/>
  </r>
  <r>
    <x v="73"/>
    <x v="72"/>
    <s v="CUST007050"/>
    <s v="Kabir Kumar"/>
    <s v="P00039"/>
    <s v="Graphic Tablet"/>
    <x v="1"/>
    <x v="8"/>
    <n v="2"/>
    <n v="522.55999999999995"/>
    <n v="0"/>
    <n v="83.61"/>
    <n v="0.43"/>
    <n v="1129.1600000000001"/>
    <x v="3"/>
    <s v="Shipped"/>
    <x v="12"/>
    <x v="9"/>
    <x v="1"/>
    <s v="SELL00221"/>
  </r>
  <r>
    <x v="74"/>
    <x v="73"/>
    <s v="CUST027444"/>
    <s v="Arjun Patel"/>
    <s v="P00010"/>
    <s v="Smartwatch"/>
    <x v="4"/>
    <x v="9"/>
    <n v="2"/>
    <n v="354.18"/>
    <n v="0.05"/>
    <n v="80.75"/>
    <n v="2.4900000000000002"/>
    <n v="756.18"/>
    <x v="3"/>
    <s v="Shipped"/>
    <x v="8"/>
    <x v="1"/>
    <x v="1"/>
    <s v="SELL01964"/>
  </r>
  <r>
    <x v="75"/>
    <x v="29"/>
    <s v="CUST042061"/>
    <s v="Mohit Reddy"/>
    <s v="P00010"/>
    <s v="Smartwatch"/>
    <x v="2"/>
    <x v="8"/>
    <n v="4"/>
    <n v="437.47"/>
    <n v="0"/>
    <n v="314.98"/>
    <n v="8.82"/>
    <n v="2073.6799999999998"/>
    <x v="3"/>
    <s v="Shipped"/>
    <x v="13"/>
    <x v="10"/>
    <x v="2"/>
    <s v="SELL01119"/>
  </r>
  <r>
    <x v="76"/>
    <x v="74"/>
    <s v="CUST016864"/>
    <s v="Aman Sharma"/>
    <s v="P00026"/>
    <s v="Sunglasses"/>
    <x v="3"/>
    <x v="9"/>
    <n v="1"/>
    <n v="392.71"/>
    <n v="0.1"/>
    <n v="42.41"/>
    <n v="7.82"/>
    <n v="403.67"/>
    <x v="0"/>
    <s v="Delivered"/>
    <x v="19"/>
    <x v="3"/>
    <x v="1"/>
    <s v="SELL00376"/>
  </r>
  <r>
    <x v="77"/>
    <x v="75"/>
    <s v="CUST028956"/>
    <s v="Kabir Patel"/>
    <s v="P00011"/>
    <s v="Fitness Band"/>
    <x v="5"/>
    <x v="4"/>
    <n v="1"/>
    <n v="592.91"/>
    <n v="0.05"/>
    <n v="28.16"/>
    <n v="6.83"/>
    <n v="598.25"/>
    <x v="2"/>
    <s v="Delivered"/>
    <x v="16"/>
    <x v="1"/>
    <x v="1"/>
    <s v="SELL00112"/>
  </r>
  <r>
    <x v="78"/>
    <x v="76"/>
    <s v="CUST001710"/>
    <s v="Neha Sharma"/>
    <s v="P00009"/>
    <s v="Portable SSD 1TB"/>
    <x v="1"/>
    <x v="8"/>
    <n v="2"/>
    <n v="76.97"/>
    <n v="0"/>
    <n v="7.7"/>
    <n v="4.91"/>
    <n v="166.55"/>
    <x v="0"/>
    <s v="Delivered"/>
    <x v="6"/>
    <x v="4"/>
    <x v="3"/>
    <s v="SELL00917"/>
  </r>
  <r>
    <x v="79"/>
    <x v="77"/>
    <s v="CUST023701"/>
    <s v="Vihaan Patel"/>
    <s v="P00007"/>
    <s v="Mechanical Keyboard"/>
    <x v="5"/>
    <x v="8"/>
    <n v="1"/>
    <n v="534.30999999999995"/>
    <n v="0.1"/>
    <n v="57.71"/>
    <n v="14.47"/>
    <n v="553.05999999999995"/>
    <x v="1"/>
    <s v="Shipped"/>
    <x v="18"/>
    <x v="3"/>
    <x v="0"/>
    <s v="SELL01174"/>
  </r>
  <r>
    <x v="80"/>
    <x v="78"/>
    <s v="CUST005263"/>
    <s v="Priya Kumar"/>
    <s v="P00010"/>
    <s v="Smartwatch"/>
    <x v="3"/>
    <x v="0"/>
    <n v="2"/>
    <n v="402.77"/>
    <n v="0.05"/>
    <n v="38.26"/>
    <n v="13.08"/>
    <n v="816.6"/>
    <x v="4"/>
    <s v="Delivered"/>
    <x v="2"/>
    <x v="1"/>
    <x v="0"/>
    <s v="SELL00371"/>
  </r>
  <r>
    <x v="81"/>
    <x v="79"/>
    <s v="CUST014979"/>
    <s v="Vivaan Kumar"/>
    <s v="P00030"/>
    <s v="Dress Shirt"/>
    <x v="1"/>
    <x v="4"/>
    <n v="3"/>
    <n v="335.1"/>
    <n v="0.1"/>
    <n v="72.38"/>
    <n v="4.24"/>
    <n v="981.39"/>
    <x v="1"/>
    <s v="Shipped"/>
    <x v="6"/>
    <x v="4"/>
    <x v="1"/>
    <s v="SELL00077"/>
  </r>
  <r>
    <x v="82"/>
    <x v="80"/>
    <s v="CUST038225"/>
    <s v="Ritika Verma"/>
    <s v="P00016"/>
    <s v="Air Fryer"/>
    <x v="0"/>
    <x v="1"/>
    <n v="3"/>
    <n v="258.13"/>
    <n v="0.05"/>
    <n v="132.41999999999999"/>
    <n v="7.69"/>
    <n v="875.78"/>
    <x v="4"/>
    <s v="Delivered"/>
    <x v="2"/>
    <x v="1"/>
    <x v="1"/>
    <s v="SELL01872"/>
  </r>
  <r>
    <x v="83"/>
    <x v="81"/>
    <s v="CUST028769"/>
    <s v="Aditya Joshi"/>
    <s v="P00040"/>
    <s v="Microphone"/>
    <x v="4"/>
    <x v="3"/>
    <n v="1"/>
    <n v="594.66999999999996"/>
    <n v="0.15"/>
    <n v="40.44"/>
    <n v="7.22"/>
    <n v="553.13"/>
    <x v="0"/>
    <s v="Delivered"/>
    <x v="1"/>
    <x v="1"/>
    <x v="1"/>
    <s v="SELL00198"/>
  </r>
  <r>
    <x v="84"/>
    <x v="82"/>
    <s v="CUST049605"/>
    <s v="Aditya Reddy"/>
    <s v="P00036"/>
    <s v="Smart Light Bulb"/>
    <x v="5"/>
    <x v="6"/>
    <n v="4"/>
    <n v="494.13"/>
    <n v="0.05"/>
    <n v="225.32"/>
    <n v="7.18"/>
    <n v="2110.19"/>
    <x v="3"/>
    <s v="Delivered"/>
    <x v="2"/>
    <x v="1"/>
    <x v="1"/>
    <s v="SELL00087"/>
  </r>
  <r>
    <x v="85"/>
    <x v="83"/>
    <s v="CUST015624"/>
    <s v="Arjun Singh"/>
    <s v="P00017"/>
    <s v="Electric Kettle"/>
    <x v="4"/>
    <x v="3"/>
    <n v="4"/>
    <n v="15.47"/>
    <n v="0.05"/>
    <n v="10.58"/>
    <n v="3.91"/>
    <n v="73.28"/>
    <x v="3"/>
    <s v="Shipped"/>
    <x v="8"/>
    <x v="1"/>
    <x v="1"/>
    <s v="SELL01618"/>
  </r>
  <r>
    <x v="86"/>
    <x v="84"/>
    <s v="CUST026490"/>
    <s v="Neha Reddy"/>
    <s v="P00017"/>
    <s v="Electric Kettle"/>
    <x v="4"/>
    <x v="1"/>
    <n v="4"/>
    <n v="28.59"/>
    <n v="0"/>
    <n v="20.58"/>
    <n v="13.02"/>
    <n v="147.96"/>
    <x v="3"/>
    <s v="Delivered"/>
    <x v="5"/>
    <x v="3"/>
    <x v="1"/>
    <s v="SELL01735"/>
  </r>
  <r>
    <x v="87"/>
    <x v="85"/>
    <s v="CUST001370"/>
    <s v="Mohit Gupta"/>
    <s v="P00023"/>
    <s v="Cookware Set"/>
    <x v="5"/>
    <x v="6"/>
    <n v="5"/>
    <n v="456.58"/>
    <n v="0.15"/>
    <n v="155.24"/>
    <n v="7.48"/>
    <n v="2103.1799999999998"/>
    <x v="1"/>
    <s v="Delivered"/>
    <x v="13"/>
    <x v="10"/>
    <x v="2"/>
    <s v="SELL01951"/>
  </r>
  <r>
    <x v="88"/>
    <x v="86"/>
    <s v="CUST043394"/>
    <s v="Aman Kapoor"/>
    <s v="P00029"/>
    <s v="T-Shirt"/>
    <x v="0"/>
    <x v="2"/>
    <n v="3"/>
    <n v="324.31"/>
    <n v="0.2"/>
    <n v="62.27"/>
    <n v="4.63"/>
    <n v="845.24"/>
    <x v="0"/>
    <s v="Delivered"/>
    <x v="7"/>
    <x v="5"/>
    <x v="1"/>
    <s v="SELL00041"/>
  </r>
  <r>
    <x v="89"/>
    <x v="87"/>
    <s v="CUST039077"/>
    <s v="Karan Kumar"/>
    <s v="P00015"/>
    <s v="Instant Pot"/>
    <x v="0"/>
    <x v="4"/>
    <n v="5"/>
    <n v="342.26"/>
    <n v="0.2"/>
    <n v="109.52"/>
    <n v="7.29"/>
    <n v="1485.85"/>
    <x v="3"/>
    <s v="Pending"/>
    <x v="1"/>
    <x v="1"/>
    <x v="1"/>
    <s v="SELL00271"/>
  </r>
  <r>
    <x v="90"/>
    <x v="88"/>
    <s v="CUST007564"/>
    <s v="Sahil Kumar"/>
    <s v="P00016"/>
    <s v="Air Fryer"/>
    <x v="2"/>
    <x v="9"/>
    <n v="5"/>
    <n v="201.16"/>
    <n v="0.2"/>
    <n v="64.37"/>
    <n v="9.3800000000000008"/>
    <n v="878.39"/>
    <x v="4"/>
    <s v="Delivered"/>
    <x v="7"/>
    <x v="5"/>
    <x v="1"/>
    <s v="SELL00155"/>
  </r>
  <r>
    <x v="91"/>
    <x v="89"/>
    <s v="CUST033299"/>
    <s v="Priya Mehta"/>
    <s v="P00045"/>
    <s v="Phone Tripod"/>
    <x v="4"/>
    <x v="4"/>
    <n v="4"/>
    <n v="555.99"/>
    <n v="0.05"/>
    <n v="253.53"/>
    <n v="1.26"/>
    <n v="2367.5500000000002"/>
    <x v="5"/>
    <s v="Cancelled"/>
    <x v="16"/>
    <x v="1"/>
    <x v="1"/>
    <s v="SELL01704"/>
  </r>
  <r>
    <x v="92"/>
    <x v="90"/>
    <s v="CUST039707"/>
    <s v="Vikas Joshi"/>
    <s v="P00022"/>
    <s v="Water Bottle"/>
    <x v="1"/>
    <x v="1"/>
    <n v="5"/>
    <n v="138.56"/>
    <n v="0.2"/>
    <n v="27.71"/>
    <n v="7.71"/>
    <n v="589.66"/>
    <x v="4"/>
    <s v="Shipped"/>
    <x v="18"/>
    <x v="3"/>
    <x v="1"/>
    <s v="SELL00861"/>
  </r>
  <r>
    <x v="93"/>
    <x v="91"/>
    <s v="CUST043458"/>
    <s v="Aman Joshi"/>
    <s v="P00048"/>
    <s v="Wireless Charger"/>
    <x v="2"/>
    <x v="6"/>
    <n v="4"/>
    <n v="409.78"/>
    <n v="0"/>
    <n v="295.04000000000002"/>
    <n v="14.29"/>
    <n v="1948.45"/>
    <x v="4"/>
    <s v="Shipped"/>
    <x v="16"/>
    <x v="1"/>
    <x v="1"/>
    <s v="SELL00572"/>
  </r>
  <r>
    <x v="94"/>
    <x v="92"/>
    <s v="CUST001552"/>
    <s v="Vihaan Kumar"/>
    <s v="P00045"/>
    <s v="Phone Tripod"/>
    <x v="5"/>
    <x v="3"/>
    <n v="4"/>
    <n v="42.31"/>
    <n v="0.1"/>
    <n v="12.19"/>
    <n v="1.28"/>
    <n v="165.79"/>
    <x v="1"/>
    <s v="Delivered"/>
    <x v="6"/>
    <x v="4"/>
    <x v="1"/>
    <s v="SELL01732"/>
  </r>
  <r>
    <x v="95"/>
    <x v="93"/>
    <s v="CUST039426"/>
    <s v="Sneha Verma"/>
    <s v="P00043"/>
    <s v="HDMI Cable 2m"/>
    <x v="5"/>
    <x v="9"/>
    <n v="1"/>
    <n v="170.88"/>
    <n v="0.2"/>
    <n v="16.399999999999999"/>
    <n v="7.6"/>
    <n v="160.69999999999999"/>
    <x v="3"/>
    <s v="Delivered"/>
    <x v="3"/>
    <x v="2"/>
    <x v="1"/>
    <s v="SELL01461"/>
  </r>
  <r>
    <x v="96"/>
    <x v="94"/>
    <s v="CUST049557"/>
    <s v="Anjali Sharma"/>
    <s v="P00048"/>
    <s v="Wireless Charger"/>
    <x v="0"/>
    <x v="9"/>
    <n v="3"/>
    <n v="548.16999999999996"/>
    <n v="0.05"/>
    <n v="0"/>
    <n v="2.63"/>
    <n v="1564.91"/>
    <x v="4"/>
    <s v="Delivered"/>
    <x v="1"/>
    <x v="1"/>
    <x v="1"/>
    <s v="SELL00108"/>
  </r>
  <r>
    <x v="97"/>
    <x v="95"/>
    <s v="CUST033386"/>
    <s v="Ritika Reddy"/>
    <s v="P00036"/>
    <s v="Smart Light Bulb"/>
    <x v="5"/>
    <x v="8"/>
    <n v="4"/>
    <n v="260.91000000000003"/>
    <n v="0"/>
    <n v="83.49"/>
    <n v="2.86"/>
    <n v="1129.99"/>
    <x v="4"/>
    <s v="Returned"/>
    <x v="18"/>
    <x v="3"/>
    <x v="1"/>
    <s v="SELL01544"/>
  </r>
  <r>
    <x v="98"/>
    <x v="96"/>
    <s v="CUST018449"/>
    <s v="Sneha Kapoor"/>
    <s v="P00028"/>
    <s v="Jeans"/>
    <x v="0"/>
    <x v="8"/>
    <n v="5"/>
    <n v="384.56"/>
    <n v="0.15"/>
    <n v="130.75"/>
    <n v="12.62"/>
    <n v="1777.75"/>
    <x v="4"/>
    <s v="Delivered"/>
    <x v="6"/>
    <x v="4"/>
    <x v="1"/>
    <s v="SELL00992"/>
  </r>
  <r>
    <x v="99"/>
    <x v="97"/>
    <s v="CUST012492"/>
    <s v="Sneha Sharma"/>
    <s v="P00023"/>
    <s v="Cookware Set"/>
    <x v="5"/>
    <x v="5"/>
    <n v="1"/>
    <n v="206.2"/>
    <n v="0"/>
    <n v="16.5"/>
    <n v="9.08"/>
    <n v="231.78"/>
    <x v="3"/>
    <s v="Delivered"/>
    <x v="14"/>
    <x v="11"/>
    <x v="0"/>
    <s v="SELL00337"/>
  </r>
  <r>
    <x v="100"/>
    <x v="98"/>
    <s v="CUST015367"/>
    <s v="Aditya Sharma"/>
    <s v="P00018"/>
    <s v="Vacuum Cleaner"/>
    <x v="4"/>
    <x v="4"/>
    <n v="4"/>
    <n v="369.47"/>
    <n v="0.25"/>
    <n v="199.51"/>
    <n v="4.5599999999999996"/>
    <n v="1312.48"/>
    <x v="3"/>
    <s v="Delivered"/>
    <x v="13"/>
    <x v="10"/>
    <x v="1"/>
    <s v="SELL01672"/>
  </r>
  <r>
    <x v="101"/>
    <x v="3"/>
    <s v="CUST009929"/>
    <s v="Sneha Verma"/>
    <s v="P00014"/>
    <s v="Drone Mini"/>
    <x v="0"/>
    <x v="7"/>
    <n v="1"/>
    <n v="29.37"/>
    <n v="0"/>
    <n v="1.47"/>
    <n v="5.45"/>
    <n v="36.29"/>
    <x v="3"/>
    <s v="Delivered"/>
    <x v="10"/>
    <x v="7"/>
    <x v="1"/>
    <s v="SELL00848"/>
  </r>
  <r>
    <x v="102"/>
    <x v="99"/>
    <s v="CUST030254"/>
    <s v="Vivaan Patel"/>
    <s v="P00045"/>
    <s v="Phone Tripod"/>
    <x v="1"/>
    <x v="5"/>
    <n v="2"/>
    <n v="159.82"/>
    <n v="0.05"/>
    <n v="15.18"/>
    <n v="2.5499999999999998"/>
    <n v="321.39"/>
    <x v="0"/>
    <s v="Delivered"/>
    <x v="15"/>
    <x v="3"/>
    <x v="1"/>
    <s v="SELL00127"/>
  </r>
  <r>
    <x v="103"/>
    <x v="100"/>
    <s v="CUST041994"/>
    <s v="Aditya Reddy"/>
    <s v="P00031"/>
    <s v="Kids Toy Car"/>
    <x v="3"/>
    <x v="8"/>
    <n v="4"/>
    <n v="548.39"/>
    <n v="0"/>
    <n v="109.68"/>
    <n v="12.26"/>
    <n v="2315.5"/>
    <x v="4"/>
    <s v="Delivered"/>
    <x v="12"/>
    <x v="9"/>
    <x v="1"/>
    <s v="SELL00607"/>
  </r>
  <r>
    <x v="104"/>
    <x v="101"/>
    <s v="CUST034561"/>
    <s v="Sneha Gupta"/>
    <s v="P00033"/>
    <s v="Puzzle 1000pc"/>
    <x v="5"/>
    <x v="6"/>
    <n v="3"/>
    <n v="99.05"/>
    <n v="0.05"/>
    <n v="33.880000000000003"/>
    <n v="0.71"/>
    <n v="316.88"/>
    <x v="3"/>
    <s v="Delivered"/>
    <x v="2"/>
    <x v="1"/>
    <x v="1"/>
    <s v="SELL01742"/>
  </r>
  <r>
    <x v="105"/>
    <x v="102"/>
    <s v="CUST028297"/>
    <s v="Neha Kumar"/>
    <s v="P00017"/>
    <s v="Electric Kettle"/>
    <x v="3"/>
    <x v="0"/>
    <n v="1"/>
    <n v="113.27"/>
    <n v="0.05"/>
    <n v="5.38"/>
    <n v="0.22"/>
    <n v="113.21"/>
    <x v="4"/>
    <s v="Delivered"/>
    <x v="2"/>
    <x v="1"/>
    <x v="1"/>
    <s v="SELL00553"/>
  </r>
  <r>
    <x v="106"/>
    <x v="103"/>
    <s v="CUST002237"/>
    <s v="Sahil Singh"/>
    <s v="P00036"/>
    <s v="Smart Light Bulb"/>
    <x v="4"/>
    <x v="1"/>
    <n v="3"/>
    <n v="297.26"/>
    <n v="0.05"/>
    <n v="101.66"/>
    <n v="5.24"/>
    <n v="954.09"/>
    <x v="3"/>
    <s v="Pending"/>
    <x v="12"/>
    <x v="9"/>
    <x v="1"/>
    <s v="SELL00371"/>
  </r>
  <r>
    <x v="107"/>
    <x v="104"/>
    <s v="CUST007600"/>
    <s v="Ritika Kapoor"/>
    <s v="P00034"/>
    <s v="Desk Organizer"/>
    <x v="2"/>
    <x v="6"/>
    <n v="1"/>
    <n v="483.5"/>
    <n v="0"/>
    <n v="38.68"/>
    <n v="4.62"/>
    <n v="526.79999999999995"/>
    <x v="0"/>
    <s v="Delivered"/>
    <x v="5"/>
    <x v="3"/>
    <x v="1"/>
    <s v="SELL01189"/>
  </r>
  <r>
    <x v="108"/>
    <x v="105"/>
    <s v="CUST010526"/>
    <s v="Neha Kumar"/>
    <s v="P00005"/>
    <s v="Laptop Sleeve"/>
    <x v="4"/>
    <x v="6"/>
    <n v="3"/>
    <n v="127.42"/>
    <n v="0.15"/>
    <n v="16.25"/>
    <n v="1.88"/>
    <n v="343.05"/>
    <x v="0"/>
    <s v="Delivered"/>
    <x v="16"/>
    <x v="1"/>
    <x v="1"/>
    <s v="SELL01545"/>
  </r>
  <r>
    <x v="109"/>
    <x v="106"/>
    <s v="CUST024904"/>
    <s v="Neha Mehta"/>
    <s v="P00023"/>
    <s v="Cookware Set"/>
    <x v="4"/>
    <x v="6"/>
    <n v="5"/>
    <n v="520.69000000000005"/>
    <n v="0"/>
    <n v="130.16999999999999"/>
    <n v="9.98"/>
    <n v="2743.6"/>
    <x v="5"/>
    <s v="Delivered"/>
    <x v="14"/>
    <x v="11"/>
    <x v="0"/>
    <s v="SELL00617"/>
  </r>
  <r>
    <x v="110"/>
    <x v="107"/>
    <s v="CUST033463"/>
    <s v="Rohit Verma"/>
    <s v="P00029"/>
    <s v="T-Shirt"/>
    <x v="2"/>
    <x v="0"/>
    <n v="5"/>
    <n v="61.48"/>
    <n v="0"/>
    <n v="55.33"/>
    <n v="2.64"/>
    <n v="365.37"/>
    <x v="1"/>
    <s v="Delivered"/>
    <x v="4"/>
    <x v="1"/>
    <x v="1"/>
    <s v="SELL01848"/>
  </r>
  <r>
    <x v="111"/>
    <x v="108"/>
    <s v="CUST015883"/>
    <s v="Vihaan Mehta"/>
    <s v="P00022"/>
    <s v="Water Bottle"/>
    <x v="0"/>
    <x v="3"/>
    <n v="5"/>
    <n v="314"/>
    <n v="0"/>
    <n v="282.60000000000002"/>
    <n v="8.14"/>
    <n v="1860.74"/>
    <x v="0"/>
    <s v="Delivered"/>
    <x v="18"/>
    <x v="3"/>
    <x v="1"/>
    <s v="SELL01322"/>
  </r>
  <r>
    <x v="112"/>
    <x v="109"/>
    <s v="CUST035697"/>
    <s v="Vikas Mehta"/>
    <s v="P00024"/>
    <s v="Yoga Mat"/>
    <x v="4"/>
    <x v="1"/>
    <n v="4"/>
    <n v="189.7"/>
    <n v="0.25"/>
    <n v="28.46"/>
    <n v="13.2"/>
    <n v="610.76"/>
    <x v="1"/>
    <s v="Cancelled"/>
    <x v="2"/>
    <x v="1"/>
    <x v="1"/>
    <s v="SELL00915"/>
  </r>
  <r>
    <x v="113"/>
    <x v="110"/>
    <s v="CUST010676"/>
    <s v="Karan Joshi"/>
    <s v="P00036"/>
    <s v="Smart Light Bulb"/>
    <x v="2"/>
    <x v="6"/>
    <n v="2"/>
    <n v="103.29"/>
    <n v="0.2"/>
    <n v="0"/>
    <n v="0.55000000000000004"/>
    <n v="165.81"/>
    <x v="1"/>
    <s v="Shipped"/>
    <x v="4"/>
    <x v="1"/>
    <x v="1"/>
    <s v="SELL01203"/>
  </r>
  <r>
    <x v="114"/>
    <x v="111"/>
    <s v="CUST037855"/>
    <s v="Vivaan Verma"/>
    <s v="P00012"/>
    <s v="Noise Cancelling Headphones"/>
    <x v="1"/>
    <x v="1"/>
    <n v="3"/>
    <n v="167.08"/>
    <n v="0"/>
    <n v="40.1"/>
    <n v="7.29"/>
    <n v="548.63"/>
    <x v="1"/>
    <s v="Delivered"/>
    <x v="5"/>
    <x v="3"/>
    <x v="1"/>
    <s v="SELL01649"/>
  </r>
  <r>
    <x v="115"/>
    <x v="112"/>
    <s v="CUST013803"/>
    <s v="Vivaan Mehta"/>
    <s v="P00021"/>
    <s v="Backpack"/>
    <x v="4"/>
    <x v="3"/>
    <n v="4"/>
    <n v="468.57"/>
    <n v="0.25"/>
    <n v="70.290000000000006"/>
    <n v="14.63"/>
    <n v="1490.63"/>
    <x v="0"/>
    <s v="Shipped"/>
    <x v="5"/>
    <x v="3"/>
    <x v="1"/>
    <s v="SELL01188"/>
  </r>
  <r>
    <x v="116"/>
    <x v="113"/>
    <s v="CUST041291"/>
    <s v="Anjali Verma"/>
    <s v="P00042"/>
    <s v="Projector Mini"/>
    <x v="2"/>
    <x v="6"/>
    <n v="2"/>
    <n v="25.31"/>
    <n v="0"/>
    <n v="0"/>
    <n v="14.69"/>
    <n v="65.31"/>
    <x v="0"/>
    <s v="Shipped"/>
    <x v="1"/>
    <x v="1"/>
    <x v="1"/>
    <s v="SELL01963"/>
  </r>
  <r>
    <x v="117"/>
    <x v="114"/>
    <s v="CUST025351"/>
    <s v="Sneha Kumar"/>
    <s v="P00006"/>
    <s v="Gaming Mouse"/>
    <x v="4"/>
    <x v="3"/>
    <n v="2"/>
    <n v="590.96"/>
    <n v="0.05"/>
    <n v="134.74"/>
    <n v="5.5"/>
    <n v="1263.06"/>
    <x v="3"/>
    <s v="Delivered"/>
    <x v="7"/>
    <x v="5"/>
    <x v="1"/>
    <s v="SELL00011"/>
  </r>
  <r>
    <x v="118"/>
    <x v="115"/>
    <s v="CUST023478"/>
    <s v="Rohit Reddy"/>
    <s v="P00009"/>
    <s v="Portable SSD 1TB"/>
    <x v="1"/>
    <x v="7"/>
    <n v="2"/>
    <n v="433.24"/>
    <n v="0.05"/>
    <n v="98.78"/>
    <n v="10.23"/>
    <n v="932.17"/>
    <x v="2"/>
    <s v="Shipped"/>
    <x v="13"/>
    <x v="10"/>
    <x v="1"/>
    <s v="SELL01044"/>
  </r>
  <r>
    <x v="119"/>
    <x v="116"/>
    <s v="CUST029783"/>
    <s v="Simran Singh"/>
    <s v="P00050"/>
    <s v="Novel Bestseller"/>
    <x v="0"/>
    <x v="8"/>
    <n v="4"/>
    <n v="187.75"/>
    <n v="0.05"/>
    <n v="128.41999999999999"/>
    <n v="9.52"/>
    <n v="851.39"/>
    <x v="3"/>
    <s v="Delivered"/>
    <x v="18"/>
    <x v="3"/>
    <x v="1"/>
    <s v="SELL01527"/>
  </r>
  <r>
    <x v="120"/>
    <x v="117"/>
    <s v="CUST001056"/>
    <s v="Karan Singh"/>
    <s v="P00017"/>
    <s v="Electric Kettle"/>
    <x v="3"/>
    <x v="2"/>
    <n v="5"/>
    <n v="230.99"/>
    <n v="0.15"/>
    <n v="117.8"/>
    <n v="10.69"/>
    <n v="1110.2"/>
    <x v="4"/>
    <s v="Delivered"/>
    <x v="17"/>
    <x v="12"/>
    <x v="1"/>
    <s v="SELL01639"/>
  </r>
  <r>
    <x v="121"/>
    <x v="118"/>
    <s v="CUST026942"/>
    <s v="Pooja Joshi"/>
    <s v="P00008"/>
    <s v="4K Monitor"/>
    <x v="4"/>
    <x v="2"/>
    <n v="5"/>
    <n v="246.13"/>
    <n v="0.1"/>
    <n v="0"/>
    <n v="9.69"/>
    <n v="1117.28"/>
    <x v="1"/>
    <s v="Shipped"/>
    <x v="2"/>
    <x v="1"/>
    <x v="2"/>
    <s v="SELL00632"/>
  </r>
  <r>
    <x v="122"/>
    <x v="119"/>
    <s v="CUST027791"/>
    <s v="Sneha Verma"/>
    <s v="P00050"/>
    <s v="Novel Bestseller"/>
    <x v="1"/>
    <x v="4"/>
    <n v="1"/>
    <n v="18.66"/>
    <n v="0"/>
    <n v="0.93"/>
    <n v="5.03"/>
    <n v="24.62"/>
    <x v="1"/>
    <s v="Delivered"/>
    <x v="18"/>
    <x v="3"/>
    <x v="1"/>
    <s v="SELL00745"/>
  </r>
  <r>
    <x v="123"/>
    <x v="120"/>
    <s v="CUST019410"/>
    <s v="Simran Reddy"/>
    <s v="P00043"/>
    <s v="HDMI Cable 2m"/>
    <x v="2"/>
    <x v="6"/>
    <n v="2"/>
    <n v="48.99"/>
    <n v="0.25"/>
    <n v="3.67"/>
    <n v="1.59"/>
    <n v="78.739999999999995"/>
    <x v="1"/>
    <s v="Delivered"/>
    <x v="19"/>
    <x v="3"/>
    <x v="1"/>
    <s v="SELL00146"/>
  </r>
  <r>
    <x v="124"/>
    <x v="121"/>
    <s v="CUST009308"/>
    <s v="Vihaan Sharma"/>
    <s v="P00021"/>
    <s v="Backpack"/>
    <x v="4"/>
    <x v="6"/>
    <n v="5"/>
    <n v="200.05"/>
    <n v="0.05"/>
    <n v="114.03"/>
    <n v="2.34"/>
    <n v="1066.6099999999999"/>
    <x v="3"/>
    <s v="Delivered"/>
    <x v="8"/>
    <x v="1"/>
    <x v="4"/>
    <s v="SELL00770"/>
  </r>
  <r>
    <x v="125"/>
    <x v="122"/>
    <s v="CUST004285"/>
    <s v="Sahil Sharma"/>
    <s v="P00008"/>
    <s v="4K Monitor"/>
    <x v="5"/>
    <x v="5"/>
    <n v="4"/>
    <n v="149.47"/>
    <n v="0"/>
    <n v="71.75"/>
    <n v="10.48"/>
    <n v="680.11"/>
    <x v="4"/>
    <s v="Delivered"/>
    <x v="8"/>
    <x v="1"/>
    <x v="1"/>
    <s v="SELL01530"/>
  </r>
  <r>
    <x v="126"/>
    <x v="123"/>
    <s v="CUST037966"/>
    <s v="Aditya Kumar"/>
    <s v="P00027"/>
    <s v="Winter Jacket"/>
    <x v="4"/>
    <x v="8"/>
    <n v="3"/>
    <n v="460.51"/>
    <n v="0.05"/>
    <n v="157.49"/>
    <n v="3.17"/>
    <n v="1473.11"/>
    <x v="3"/>
    <s v="Delivered"/>
    <x v="3"/>
    <x v="2"/>
    <x v="1"/>
    <s v="SELL01372"/>
  </r>
  <r>
    <x v="127"/>
    <x v="124"/>
    <s v="CUST025421"/>
    <s v="Mohit Mehta"/>
    <s v="P00050"/>
    <s v="Novel Bestseller"/>
    <x v="1"/>
    <x v="2"/>
    <n v="5"/>
    <n v="141.31"/>
    <n v="0.15"/>
    <n v="72.069999999999993"/>
    <n v="14.56"/>
    <n v="687.2"/>
    <x v="0"/>
    <s v="Delivered"/>
    <x v="7"/>
    <x v="5"/>
    <x v="1"/>
    <s v="SELL01574"/>
  </r>
  <r>
    <x v="128"/>
    <x v="125"/>
    <s v="CUST039352"/>
    <s v="Neha Joshi"/>
    <s v="P00010"/>
    <s v="Smartwatch"/>
    <x v="0"/>
    <x v="5"/>
    <n v="3"/>
    <n v="204.15"/>
    <n v="0.1"/>
    <n v="66.14"/>
    <n v="10.09"/>
    <n v="627.44000000000005"/>
    <x v="3"/>
    <s v="Delivered"/>
    <x v="16"/>
    <x v="1"/>
    <x v="1"/>
    <s v="SELL00583"/>
  </r>
  <r>
    <x v="129"/>
    <x v="126"/>
    <s v="CUST032886"/>
    <s v="Rohit Mehta"/>
    <s v="P00015"/>
    <s v="Instant Pot"/>
    <x v="0"/>
    <x v="0"/>
    <n v="4"/>
    <n v="577.36"/>
    <n v="0.2"/>
    <n v="92.38"/>
    <n v="4.08"/>
    <n v="1944.01"/>
    <x v="0"/>
    <s v="Delivered"/>
    <x v="8"/>
    <x v="1"/>
    <x v="1"/>
    <s v="SELL00736"/>
  </r>
  <r>
    <x v="130"/>
    <x v="127"/>
    <s v="CUST014360"/>
    <s v="Vivaan Singh"/>
    <s v="P00050"/>
    <s v="Novel Bestseller"/>
    <x v="5"/>
    <x v="4"/>
    <n v="2"/>
    <n v="509.27"/>
    <n v="0"/>
    <n v="0"/>
    <n v="6.71"/>
    <n v="1025.25"/>
    <x v="5"/>
    <s v="Shipped"/>
    <x v="5"/>
    <x v="3"/>
    <x v="1"/>
    <s v="SELL01332"/>
  </r>
  <r>
    <x v="131"/>
    <x v="128"/>
    <s v="CUST007708"/>
    <s v="Sunita Sharma"/>
    <s v="P00028"/>
    <s v="Jeans"/>
    <x v="2"/>
    <x v="2"/>
    <n v="3"/>
    <n v="496.12"/>
    <n v="0"/>
    <n v="74.42"/>
    <n v="5.91"/>
    <n v="1568.69"/>
    <x v="5"/>
    <s v="Returned"/>
    <x v="3"/>
    <x v="2"/>
    <x v="3"/>
    <s v="SELL00248"/>
  </r>
  <r>
    <x v="132"/>
    <x v="129"/>
    <s v="CUST013067"/>
    <s v="Sunita Gupta"/>
    <s v="P00026"/>
    <s v="Sunglasses"/>
    <x v="2"/>
    <x v="3"/>
    <n v="3"/>
    <n v="497.74"/>
    <n v="0"/>
    <n v="179.19"/>
    <n v="7.58"/>
    <n v="1679.99"/>
    <x v="3"/>
    <s v="Delivered"/>
    <x v="11"/>
    <x v="8"/>
    <x v="1"/>
    <s v="SELL01907"/>
  </r>
  <r>
    <x v="133"/>
    <x v="130"/>
    <s v="CUST046835"/>
    <s v="Simran Gupta"/>
    <s v="P00043"/>
    <s v="HDMI Cable 2m"/>
    <x v="0"/>
    <x v="1"/>
    <n v="4"/>
    <n v="384.81"/>
    <n v="0"/>
    <n v="184.71"/>
    <n v="13.11"/>
    <n v="1737.06"/>
    <x v="3"/>
    <s v="Cancelled"/>
    <x v="15"/>
    <x v="3"/>
    <x v="1"/>
    <s v="SELL01180"/>
  </r>
  <r>
    <x v="134"/>
    <x v="131"/>
    <s v="CUST011228"/>
    <s v="Karan Reddy"/>
    <s v="P00003"/>
    <s v="Smartphone Case"/>
    <x v="3"/>
    <x v="6"/>
    <n v="2"/>
    <n v="321.45999999999998"/>
    <n v="0.1"/>
    <n v="69.44"/>
    <n v="5.41"/>
    <n v="653.48"/>
    <x v="2"/>
    <s v="Delivered"/>
    <x v="5"/>
    <x v="3"/>
    <x v="0"/>
    <s v="SELL00715"/>
  </r>
  <r>
    <x v="135"/>
    <x v="132"/>
    <s v="CUST046806"/>
    <s v="Neha Singh"/>
    <s v="P00013"/>
    <s v="Action Camera"/>
    <x v="3"/>
    <x v="4"/>
    <n v="5"/>
    <n v="498.26"/>
    <n v="0.05"/>
    <n v="189.34"/>
    <n v="3.64"/>
    <n v="2559.7199999999998"/>
    <x v="4"/>
    <s v="Shipped"/>
    <x v="0"/>
    <x v="0"/>
    <x v="4"/>
    <s v="SELL00709"/>
  </r>
  <r>
    <x v="136"/>
    <x v="133"/>
    <s v="CUST014033"/>
    <s v="Rohit Gupta"/>
    <s v="P00049"/>
    <s v="Children's Book"/>
    <x v="0"/>
    <x v="7"/>
    <n v="5"/>
    <n v="211.88"/>
    <n v="0.1"/>
    <n v="76.28"/>
    <n v="9.75"/>
    <n v="1039.49"/>
    <x v="4"/>
    <s v="Delivered"/>
    <x v="13"/>
    <x v="10"/>
    <x v="1"/>
    <s v="SELL00278"/>
  </r>
  <r>
    <x v="137"/>
    <x v="134"/>
    <s v="CUST040569"/>
    <s v="Rohit Sharma"/>
    <s v="P00030"/>
    <s v="Dress Shirt"/>
    <x v="2"/>
    <x v="4"/>
    <n v="2"/>
    <n v="333.88"/>
    <n v="0.05"/>
    <n v="0"/>
    <n v="10.61"/>
    <n v="644.98"/>
    <x v="3"/>
    <s v="Shipped"/>
    <x v="9"/>
    <x v="6"/>
    <x v="0"/>
    <s v="SELL01341"/>
  </r>
  <r>
    <x v="138"/>
    <x v="135"/>
    <s v="CUST041172"/>
    <s v="Ritika Reddy"/>
    <s v="P00015"/>
    <s v="Instant Pot"/>
    <x v="5"/>
    <x v="6"/>
    <n v="2"/>
    <n v="522.65"/>
    <n v="0.05"/>
    <n v="79.44"/>
    <n v="13.86"/>
    <n v="1086.33"/>
    <x v="3"/>
    <s v="Delivered"/>
    <x v="1"/>
    <x v="1"/>
    <x v="1"/>
    <s v="SELL00699"/>
  </r>
  <r>
    <x v="139"/>
    <x v="136"/>
    <s v="CUST001601"/>
    <s v="Vivaan Patel"/>
    <s v="P00005"/>
    <s v="Laptop Sleeve"/>
    <x v="3"/>
    <x v="1"/>
    <n v="4"/>
    <n v="67.78"/>
    <n v="0.05"/>
    <n v="20.61"/>
    <n v="11.17"/>
    <n v="289.33999999999997"/>
    <x v="2"/>
    <s v="Delivered"/>
    <x v="17"/>
    <x v="12"/>
    <x v="1"/>
    <s v="SELL01558"/>
  </r>
  <r>
    <x v="140"/>
    <x v="137"/>
    <s v="CUST046508"/>
    <s v="Vivaan Sharma"/>
    <s v="P00032"/>
    <s v="Board Game"/>
    <x v="0"/>
    <x v="2"/>
    <n v="5"/>
    <n v="22.67"/>
    <n v="0"/>
    <n v="0"/>
    <n v="13.16"/>
    <n v="126.51"/>
    <x v="0"/>
    <s v="Delivered"/>
    <x v="11"/>
    <x v="8"/>
    <x v="1"/>
    <s v="SELL00940"/>
  </r>
  <r>
    <x v="141"/>
    <x v="138"/>
    <s v="CUST027712"/>
    <s v="Ritika Joshi"/>
    <s v="P00017"/>
    <s v="Electric Kettle"/>
    <x v="1"/>
    <x v="1"/>
    <n v="5"/>
    <n v="544.52"/>
    <n v="0.25"/>
    <n v="245.03"/>
    <n v="2.79"/>
    <n v="2289.77"/>
    <x v="2"/>
    <s v="Pending"/>
    <x v="4"/>
    <x v="1"/>
    <x v="1"/>
    <s v="SELL00796"/>
  </r>
  <r>
    <x v="142"/>
    <x v="139"/>
    <s v="CUST029705"/>
    <s v="Aman Reddy"/>
    <s v="P00046"/>
    <s v="Car Charger"/>
    <x v="5"/>
    <x v="8"/>
    <n v="1"/>
    <n v="431.01"/>
    <n v="0"/>
    <n v="0"/>
    <n v="2.23"/>
    <n v="433.24"/>
    <x v="1"/>
    <s v="Shipped"/>
    <x v="8"/>
    <x v="1"/>
    <x v="1"/>
    <s v="SELL00143"/>
  </r>
  <r>
    <x v="143"/>
    <x v="140"/>
    <s v="CUST008224"/>
    <s v="Mohit Sharma"/>
    <s v="P00049"/>
    <s v="Children's Book"/>
    <x v="0"/>
    <x v="9"/>
    <n v="3"/>
    <n v="346.56"/>
    <n v="0.15"/>
    <n v="44.19"/>
    <n v="1.85"/>
    <n v="929.77"/>
    <x v="3"/>
    <s v="Delivered"/>
    <x v="13"/>
    <x v="10"/>
    <x v="1"/>
    <s v="SELL01971"/>
  </r>
  <r>
    <x v="144"/>
    <x v="141"/>
    <s v="CUST046362"/>
    <s v="Aman Verma"/>
    <s v="P00039"/>
    <s v="Graphic Tablet"/>
    <x v="0"/>
    <x v="0"/>
    <n v="1"/>
    <n v="87.79"/>
    <n v="0"/>
    <n v="15.8"/>
    <n v="10.92"/>
    <n v="114.51"/>
    <x v="3"/>
    <s v="Delivered"/>
    <x v="10"/>
    <x v="7"/>
    <x v="4"/>
    <s v="SELL00338"/>
  </r>
  <r>
    <x v="145"/>
    <x v="142"/>
    <s v="CUST005950"/>
    <s v="Mohit Verma"/>
    <s v="P00015"/>
    <s v="Instant Pot"/>
    <x v="1"/>
    <x v="6"/>
    <n v="4"/>
    <n v="596.79999999999995"/>
    <n v="0.05"/>
    <n v="272.14"/>
    <n v="2.1"/>
    <n v="2542.08"/>
    <x v="3"/>
    <s v="Delivered"/>
    <x v="0"/>
    <x v="0"/>
    <x v="0"/>
    <s v="SELL00864"/>
  </r>
  <r>
    <x v="146"/>
    <x v="143"/>
    <s v="CUST037485"/>
    <s v="Kabir Verma"/>
    <s v="P00015"/>
    <s v="Instant Pot"/>
    <x v="5"/>
    <x v="3"/>
    <n v="1"/>
    <n v="194.17"/>
    <n v="0"/>
    <n v="9.7100000000000009"/>
    <n v="5.33"/>
    <n v="209.21"/>
    <x v="3"/>
    <s v="Delivered"/>
    <x v="18"/>
    <x v="3"/>
    <x v="0"/>
    <s v="SELL01097"/>
  </r>
  <r>
    <x v="147"/>
    <x v="144"/>
    <s v="CUST027818"/>
    <s v="Sneha Mehta"/>
    <s v="P00027"/>
    <s v="Winter Jacket"/>
    <x v="2"/>
    <x v="8"/>
    <n v="2"/>
    <n v="42.52"/>
    <n v="0.05"/>
    <n v="4.04"/>
    <n v="11.11"/>
    <n v="95.94"/>
    <x v="3"/>
    <s v="Delivered"/>
    <x v="6"/>
    <x v="4"/>
    <x v="1"/>
    <s v="SELL00776"/>
  </r>
  <r>
    <x v="148"/>
    <x v="145"/>
    <s v="CUST048304"/>
    <s v="Vihaan Kapoor"/>
    <s v="P00032"/>
    <s v="Board Game"/>
    <x v="3"/>
    <x v="5"/>
    <n v="3"/>
    <n v="262.02"/>
    <n v="0.15"/>
    <n v="120.27"/>
    <n v="7.09"/>
    <n v="795.51"/>
    <x v="3"/>
    <s v="Returned"/>
    <x v="6"/>
    <x v="4"/>
    <x v="1"/>
    <s v="SELL00433"/>
  </r>
  <r>
    <x v="149"/>
    <x v="146"/>
    <s v="CUST033670"/>
    <s v="Sneha Kapoor"/>
    <s v="P00009"/>
    <s v="Portable SSD 1TB"/>
    <x v="3"/>
    <x v="9"/>
    <n v="3"/>
    <n v="43.8"/>
    <n v="0"/>
    <n v="10.51"/>
    <n v="6.23"/>
    <n v="148.13999999999999"/>
    <x v="2"/>
    <s v="Shipped"/>
    <x v="17"/>
    <x v="12"/>
    <x v="1"/>
    <s v="SELL00027"/>
  </r>
  <r>
    <x v="150"/>
    <x v="147"/>
    <s v="CUST038774"/>
    <s v="Kabir Sharma"/>
    <s v="P00015"/>
    <s v="Instant Pot"/>
    <x v="2"/>
    <x v="4"/>
    <n v="4"/>
    <n v="306.01"/>
    <n v="0.3"/>
    <n v="42.84"/>
    <n v="9.24"/>
    <n v="908.91"/>
    <x v="0"/>
    <s v="Delivered"/>
    <x v="2"/>
    <x v="1"/>
    <x v="4"/>
    <s v="SELL00672"/>
  </r>
  <r>
    <x v="151"/>
    <x v="148"/>
    <s v="CUST026880"/>
    <s v="Kabir Verma"/>
    <s v="P00029"/>
    <s v="T-Shirt"/>
    <x v="4"/>
    <x v="2"/>
    <n v="4"/>
    <n v="251.6"/>
    <n v="0.1"/>
    <n v="108.69"/>
    <n v="13.75"/>
    <n v="1028.2"/>
    <x v="5"/>
    <s v="Delivered"/>
    <x v="10"/>
    <x v="7"/>
    <x v="4"/>
    <s v="SELL00229"/>
  </r>
  <r>
    <x v="152"/>
    <x v="149"/>
    <s v="CUST044830"/>
    <s v="Karan Kapoor"/>
    <s v="P00003"/>
    <s v="Smartphone Case"/>
    <x v="5"/>
    <x v="4"/>
    <n v="3"/>
    <n v="431.79"/>
    <n v="0"/>
    <n v="64.77"/>
    <n v="11.24"/>
    <n v="1371.38"/>
    <x v="3"/>
    <s v="Delivered"/>
    <x v="17"/>
    <x v="12"/>
    <x v="1"/>
    <s v="SELL01889"/>
  </r>
  <r>
    <x v="153"/>
    <x v="150"/>
    <s v="CUST040087"/>
    <s v="Ritika Reddy"/>
    <s v="P00023"/>
    <s v="Cookware Set"/>
    <x v="0"/>
    <x v="5"/>
    <n v="4"/>
    <n v="291.13"/>
    <n v="0.15"/>
    <n v="49.49"/>
    <n v="2.52"/>
    <n v="1041.8499999999999"/>
    <x v="0"/>
    <s v="Delivered"/>
    <x v="14"/>
    <x v="11"/>
    <x v="4"/>
    <s v="SELL01455"/>
  </r>
  <r>
    <x v="154"/>
    <x v="151"/>
    <s v="CUST026727"/>
    <s v="Anjali Gupta"/>
    <s v="P00025"/>
    <s v="Running Shoes"/>
    <x v="2"/>
    <x v="5"/>
    <n v="3"/>
    <n v="414.46"/>
    <n v="0.25"/>
    <n v="111.9"/>
    <n v="4.6900000000000004"/>
    <n v="1049.1199999999999"/>
    <x v="1"/>
    <s v="Delivered"/>
    <x v="13"/>
    <x v="10"/>
    <x v="1"/>
    <s v="SELL00945"/>
  </r>
  <r>
    <x v="155"/>
    <x v="152"/>
    <s v="CUST011225"/>
    <s v="Rohit Patel"/>
    <s v="P00026"/>
    <s v="Sunglasses"/>
    <x v="5"/>
    <x v="0"/>
    <n v="3"/>
    <n v="180.87"/>
    <n v="0"/>
    <n v="27.13"/>
    <n v="2.04"/>
    <n v="571.78"/>
    <x v="0"/>
    <s v="Delivered"/>
    <x v="11"/>
    <x v="8"/>
    <x v="1"/>
    <s v="SELL00850"/>
  </r>
  <r>
    <x v="156"/>
    <x v="153"/>
    <s v="CUST031885"/>
    <s v="Sneha Gupta"/>
    <s v="P00047"/>
    <s v="Memory Card 128GB"/>
    <x v="4"/>
    <x v="9"/>
    <n v="5"/>
    <n v="104.18"/>
    <n v="0.1"/>
    <n v="0"/>
    <n v="8.69"/>
    <n v="477.5"/>
    <x v="3"/>
    <s v="Shipped"/>
    <x v="14"/>
    <x v="11"/>
    <x v="4"/>
    <s v="SELL01363"/>
  </r>
  <r>
    <x v="157"/>
    <x v="154"/>
    <s v="CUST016025"/>
    <s v="Sunita Singh"/>
    <s v="P00045"/>
    <s v="Phone Tripod"/>
    <x v="0"/>
    <x v="9"/>
    <n v="2"/>
    <n v="400.69"/>
    <n v="0.1"/>
    <n v="57.7"/>
    <n v="10.68"/>
    <n v="789.62"/>
    <x v="3"/>
    <s v="Pending"/>
    <x v="8"/>
    <x v="1"/>
    <x v="2"/>
    <s v="SELL01573"/>
  </r>
  <r>
    <x v="158"/>
    <x v="155"/>
    <s v="CUST036113"/>
    <s v="Priya Joshi"/>
    <s v="P00007"/>
    <s v="Mechanical Keyboard"/>
    <x v="1"/>
    <x v="7"/>
    <n v="3"/>
    <n v="479.99"/>
    <n v="0.25"/>
    <n v="129.6"/>
    <n v="8.69"/>
    <n v="1218.27"/>
    <x v="4"/>
    <s v="Delivered"/>
    <x v="2"/>
    <x v="1"/>
    <x v="1"/>
    <s v="SELL01598"/>
  </r>
  <r>
    <x v="159"/>
    <x v="156"/>
    <s v="CUST043628"/>
    <s v="Anjali Verma"/>
    <s v="P00008"/>
    <s v="4K Monitor"/>
    <x v="4"/>
    <x v="8"/>
    <n v="1"/>
    <n v="247.54"/>
    <n v="0.05"/>
    <n v="28.22"/>
    <n v="2.0699999999999998"/>
    <n v="265.45"/>
    <x v="1"/>
    <s v="Delivered"/>
    <x v="6"/>
    <x v="4"/>
    <x v="1"/>
    <s v="SELL00412"/>
  </r>
  <r>
    <x v="160"/>
    <x v="157"/>
    <s v="CUST020507"/>
    <s v="Aarav Joshi"/>
    <s v="P00026"/>
    <s v="Sunglasses"/>
    <x v="3"/>
    <x v="7"/>
    <n v="3"/>
    <n v="14.51"/>
    <n v="0.05"/>
    <n v="4.96"/>
    <n v="0.82"/>
    <n v="47.13"/>
    <x v="3"/>
    <s v="Delivered"/>
    <x v="11"/>
    <x v="8"/>
    <x v="1"/>
    <s v="SELL00708"/>
  </r>
  <r>
    <x v="161"/>
    <x v="158"/>
    <s v="CUST012422"/>
    <s v="Kabir Kapoor"/>
    <s v="P00018"/>
    <s v="Vacuum Cleaner"/>
    <x v="5"/>
    <x v="9"/>
    <n v="5"/>
    <n v="216.33"/>
    <n v="0.2"/>
    <n v="0"/>
    <n v="9.73"/>
    <n v="875.05"/>
    <x v="3"/>
    <s v="Delivered"/>
    <x v="4"/>
    <x v="1"/>
    <x v="1"/>
    <s v="SELL01169"/>
  </r>
  <r>
    <x v="162"/>
    <x v="159"/>
    <s v="CUST009807"/>
    <s v="Vihaan Verma"/>
    <s v="P00039"/>
    <s v="Graphic Tablet"/>
    <x v="1"/>
    <x v="4"/>
    <n v="3"/>
    <n v="38.53"/>
    <n v="0"/>
    <n v="5.78"/>
    <n v="8.4"/>
    <n v="129.77000000000001"/>
    <x v="0"/>
    <s v="Delivered"/>
    <x v="4"/>
    <x v="1"/>
    <x v="1"/>
    <s v="SELL00551"/>
  </r>
  <r>
    <x v="163"/>
    <x v="100"/>
    <s v="CUST048496"/>
    <s v="Sahil Kumar"/>
    <s v="P00016"/>
    <s v="Air Fryer"/>
    <x v="5"/>
    <x v="9"/>
    <n v="3"/>
    <n v="465.66"/>
    <n v="0.1"/>
    <n v="62.86"/>
    <n v="0.89"/>
    <n v="1321.03"/>
    <x v="1"/>
    <s v="Returned"/>
    <x v="16"/>
    <x v="1"/>
    <x v="1"/>
    <s v="SELL00141"/>
  </r>
  <r>
    <x v="164"/>
    <x v="160"/>
    <s v="CUST029400"/>
    <s v="Aman Gupta"/>
    <s v="P00015"/>
    <s v="Instant Pot"/>
    <x v="5"/>
    <x v="0"/>
    <n v="5"/>
    <n v="35.270000000000003"/>
    <n v="0"/>
    <n v="21.16"/>
    <n v="12.99"/>
    <n v="210.5"/>
    <x v="0"/>
    <s v="Delivered"/>
    <x v="13"/>
    <x v="10"/>
    <x v="1"/>
    <s v="SELL01482"/>
  </r>
  <r>
    <x v="165"/>
    <x v="161"/>
    <s v="CUST004811"/>
    <s v="Arjun Patel"/>
    <s v="P00038"/>
    <s v="External HDD 2TB"/>
    <x v="1"/>
    <x v="1"/>
    <n v="2"/>
    <n v="82.5"/>
    <n v="0.05"/>
    <n v="18.809999999999999"/>
    <n v="13.79"/>
    <n v="189.35"/>
    <x v="3"/>
    <s v="Delivered"/>
    <x v="18"/>
    <x v="3"/>
    <x v="1"/>
    <s v="SELL00910"/>
  </r>
  <r>
    <x v="166"/>
    <x v="162"/>
    <s v="CUST008669"/>
    <s v="Aditya Kumar"/>
    <s v="P00035"/>
    <s v="Desk Plant"/>
    <x v="1"/>
    <x v="3"/>
    <n v="4"/>
    <n v="298.95999999999998"/>
    <n v="0.1"/>
    <n v="86.1"/>
    <n v="3.63"/>
    <n v="1165.99"/>
    <x v="1"/>
    <s v="Delivered"/>
    <x v="9"/>
    <x v="6"/>
    <x v="1"/>
    <s v="SELL00243"/>
  </r>
  <r>
    <x v="167"/>
    <x v="163"/>
    <s v="CUST035784"/>
    <s v="Vikas Gupta"/>
    <s v="P00015"/>
    <s v="Instant Pot"/>
    <x v="3"/>
    <x v="9"/>
    <n v="5"/>
    <n v="232.62"/>
    <n v="0.05"/>
    <n v="88.4"/>
    <n v="9.35"/>
    <n v="1202.7"/>
    <x v="3"/>
    <s v="Shipped"/>
    <x v="2"/>
    <x v="1"/>
    <x v="1"/>
    <s v="SELL01837"/>
  </r>
  <r>
    <x v="168"/>
    <x v="148"/>
    <s v="CUST027512"/>
    <s v="Mohit Joshi"/>
    <s v="P00011"/>
    <s v="Fitness Band"/>
    <x v="0"/>
    <x v="5"/>
    <n v="4"/>
    <n v="493.2"/>
    <n v="0.2"/>
    <n v="189.39"/>
    <n v="3.74"/>
    <n v="1771.37"/>
    <x v="5"/>
    <s v="Delivered"/>
    <x v="16"/>
    <x v="1"/>
    <x v="2"/>
    <s v="SELL00878"/>
  </r>
  <r>
    <x v="169"/>
    <x v="164"/>
    <s v="CUST023754"/>
    <s v="Sahil Gupta"/>
    <s v="P00043"/>
    <s v="HDMI Cable 2m"/>
    <x v="2"/>
    <x v="0"/>
    <n v="4"/>
    <n v="497.42"/>
    <n v="0.05"/>
    <n v="226.82"/>
    <n v="12.34"/>
    <n v="2129.36"/>
    <x v="0"/>
    <s v="Delivered"/>
    <x v="9"/>
    <x v="6"/>
    <x v="2"/>
    <s v="SELL01838"/>
  </r>
  <r>
    <x v="170"/>
    <x v="165"/>
    <s v="CUST011579"/>
    <s v="Kabir Reddy"/>
    <s v="P00050"/>
    <s v="Novel Bestseller"/>
    <x v="2"/>
    <x v="3"/>
    <n v="1"/>
    <n v="154.24"/>
    <n v="0.05"/>
    <n v="17.579999999999998"/>
    <n v="9.86"/>
    <n v="173.97"/>
    <x v="4"/>
    <s v="Delivered"/>
    <x v="7"/>
    <x v="5"/>
    <x v="1"/>
    <s v="SELL01005"/>
  </r>
  <r>
    <x v="171"/>
    <x v="166"/>
    <s v="CUST003082"/>
    <s v="Aarav Reddy"/>
    <s v="P00024"/>
    <s v="Yoga Mat"/>
    <x v="4"/>
    <x v="1"/>
    <n v="3"/>
    <n v="497.52"/>
    <n v="0.15"/>
    <n v="228.36"/>
    <n v="0.91"/>
    <n v="1497.95"/>
    <x v="3"/>
    <s v="Delivered"/>
    <x v="2"/>
    <x v="1"/>
    <x v="1"/>
    <s v="SELL00319"/>
  </r>
  <r>
    <x v="172"/>
    <x v="167"/>
    <s v="CUST040193"/>
    <s v="Priya Verma"/>
    <s v="P00025"/>
    <s v="Running Shoes"/>
    <x v="0"/>
    <x v="1"/>
    <n v="4"/>
    <n v="64.53"/>
    <n v="0"/>
    <n v="0"/>
    <n v="13.67"/>
    <n v="271.79000000000002"/>
    <x v="1"/>
    <s v="Delivered"/>
    <x v="10"/>
    <x v="7"/>
    <x v="1"/>
    <s v="SELL00210"/>
  </r>
  <r>
    <x v="173"/>
    <x v="168"/>
    <s v="CUST014061"/>
    <s v="Arjun Gupta"/>
    <s v="P00020"/>
    <s v="Office Chair"/>
    <x v="5"/>
    <x v="7"/>
    <n v="4"/>
    <n v="331.21"/>
    <n v="0"/>
    <n v="66.239999999999995"/>
    <n v="5.9"/>
    <n v="1396.98"/>
    <x v="5"/>
    <s v="Delivered"/>
    <x v="19"/>
    <x v="3"/>
    <x v="1"/>
    <s v="SELL00101"/>
  </r>
  <r>
    <x v="174"/>
    <x v="169"/>
    <s v="CUST028212"/>
    <s v="Vihaan Verma"/>
    <s v="P00015"/>
    <s v="Instant Pot"/>
    <x v="2"/>
    <x v="9"/>
    <n v="4"/>
    <n v="155.87"/>
    <n v="0.1"/>
    <n v="28.06"/>
    <n v="7.79"/>
    <n v="596.98"/>
    <x v="3"/>
    <s v="Delivered"/>
    <x v="5"/>
    <x v="3"/>
    <x v="1"/>
    <s v="SELL01555"/>
  </r>
  <r>
    <x v="175"/>
    <x v="170"/>
    <s v="CUST010967"/>
    <s v="Sahil Singh"/>
    <s v="P00004"/>
    <s v="USB-C Charger"/>
    <x v="2"/>
    <x v="8"/>
    <n v="1"/>
    <n v="598.75"/>
    <n v="0.1"/>
    <n v="26.94"/>
    <n v="3.35"/>
    <n v="569.16999999999996"/>
    <x v="3"/>
    <s v="Returned"/>
    <x v="7"/>
    <x v="5"/>
    <x v="4"/>
    <s v="SELL00727"/>
  </r>
  <r>
    <x v="176"/>
    <x v="171"/>
    <s v="CUST022674"/>
    <s v="Pooja Gupta"/>
    <s v="P00036"/>
    <s v="Smart Light Bulb"/>
    <x v="5"/>
    <x v="6"/>
    <n v="5"/>
    <n v="489.41"/>
    <n v="0.05"/>
    <n v="278.95999999999998"/>
    <n v="7.24"/>
    <n v="2610.9"/>
    <x v="1"/>
    <s v="Delivered"/>
    <x v="6"/>
    <x v="4"/>
    <x v="1"/>
    <s v="SELL00062"/>
  </r>
  <r>
    <x v="177"/>
    <x v="172"/>
    <s v="CUST048983"/>
    <s v="Kabir Kumar"/>
    <s v="P00006"/>
    <s v="Gaming Mouse"/>
    <x v="3"/>
    <x v="2"/>
    <n v="4"/>
    <n v="131.22"/>
    <n v="0.1"/>
    <n v="0"/>
    <n v="14.12"/>
    <n v="486.51"/>
    <x v="0"/>
    <s v="Delivered"/>
    <x v="3"/>
    <x v="2"/>
    <x v="0"/>
    <s v="SELL00530"/>
  </r>
  <r>
    <x v="178"/>
    <x v="173"/>
    <s v="CUST016133"/>
    <s v="Anjali Kumar"/>
    <s v="P00014"/>
    <s v="Drone Mini"/>
    <x v="3"/>
    <x v="6"/>
    <n v="2"/>
    <n v="176.38"/>
    <n v="0.05"/>
    <n v="26.81"/>
    <n v="11.05"/>
    <n v="372.98"/>
    <x v="5"/>
    <s v="Delivered"/>
    <x v="5"/>
    <x v="3"/>
    <x v="1"/>
    <s v="SELL00395"/>
  </r>
  <r>
    <x v="179"/>
    <x v="174"/>
    <s v="CUST044928"/>
    <s v="Pooja Reddy"/>
    <s v="P00001"/>
    <s v="Wireless Earbuds"/>
    <x v="4"/>
    <x v="8"/>
    <n v="1"/>
    <n v="418.7"/>
    <n v="0.3"/>
    <n v="23.45"/>
    <n v="4.4800000000000004"/>
    <n v="321.02"/>
    <x v="4"/>
    <s v="Delivered"/>
    <x v="9"/>
    <x v="6"/>
    <x v="1"/>
    <s v="SELL00811"/>
  </r>
  <r>
    <x v="180"/>
    <x v="175"/>
    <s v="CUST024560"/>
    <s v="Neha Gupta"/>
    <s v="P00010"/>
    <s v="Smartwatch"/>
    <x v="1"/>
    <x v="4"/>
    <n v="2"/>
    <n v="531.4"/>
    <n v="0"/>
    <n v="127.54"/>
    <n v="4.49"/>
    <n v="1194.83"/>
    <x v="2"/>
    <s v="Delivered"/>
    <x v="16"/>
    <x v="1"/>
    <x v="1"/>
    <s v="SELL00296"/>
  </r>
  <r>
    <x v="181"/>
    <x v="176"/>
    <s v="CUST019814"/>
    <s v="Vivaan Verma"/>
    <s v="P00050"/>
    <s v="Novel Bestseller"/>
    <x v="0"/>
    <x v="8"/>
    <n v="5"/>
    <n v="341.7"/>
    <n v="0.1"/>
    <n v="276.77999999999997"/>
    <n v="1.7"/>
    <n v="1816.13"/>
    <x v="1"/>
    <s v="Delivered"/>
    <x v="10"/>
    <x v="7"/>
    <x v="1"/>
    <s v="SELL01602"/>
  </r>
  <r>
    <x v="182"/>
    <x v="177"/>
    <s v="CUST015222"/>
    <s v="Karan Gupta"/>
    <s v="P00016"/>
    <s v="Air Fryer"/>
    <x v="5"/>
    <x v="4"/>
    <n v="2"/>
    <n v="375.82"/>
    <n v="0.05"/>
    <n v="35.700000000000003"/>
    <n v="13.55"/>
    <n v="763.31"/>
    <x v="1"/>
    <s v="Returned"/>
    <x v="8"/>
    <x v="1"/>
    <x v="3"/>
    <s v="SELL00166"/>
  </r>
  <r>
    <x v="183"/>
    <x v="178"/>
    <s v="CUST015733"/>
    <s v="Vivaan Sharma"/>
    <s v="P00025"/>
    <s v="Running Shoes"/>
    <x v="1"/>
    <x v="7"/>
    <n v="3"/>
    <n v="99.26"/>
    <n v="0"/>
    <n v="23.82"/>
    <n v="5.19"/>
    <n v="326.79000000000002"/>
    <x v="4"/>
    <s v="Shipped"/>
    <x v="1"/>
    <x v="1"/>
    <x v="1"/>
    <s v="SELL00041"/>
  </r>
  <r>
    <x v="184"/>
    <x v="179"/>
    <s v="CUST023655"/>
    <s v="Anjali Singh"/>
    <s v="P00026"/>
    <s v="Sunglasses"/>
    <x v="1"/>
    <x v="2"/>
    <n v="2"/>
    <n v="572.09"/>
    <n v="0"/>
    <n v="91.53"/>
    <n v="2.64"/>
    <n v="1238.3499999999999"/>
    <x v="3"/>
    <s v="Shipped"/>
    <x v="6"/>
    <x v="4"/>
    <x v="1"/>
    <s v="SELL00773"/>
  </r>
  <r>
    <x v="185"/>
    <x v="180"/>
    <s v="CUST021204"/>
    <s v="Pooja Singh"/>
    <s v="P00042"/>
    <s v="Projector Mini"/>
    <x v="3"/>
    <x v="1"/>
    <n v="2"/>
    <n v="495.32"/>
    <n v="0"/>
    <n v="49.53"/>
    <n v="10.01"/>
    <n v="1050.18"/>
    <x v="3"/>
    <s v="Pending"/>
    <x v="14"/>
    <x v="11"/>
    <x v="1"/>
    <s v="SELL01469"/>
  </r>
  <r>
    <x v="186"/>
    <x v="181"/>
    <s v="CUST016221"/>
    <s v="Simran Reddy"/>
    <s v="P00049"/>
    <s v="Children's Book"/>
    <x v="4"/>
    <x v="2"/>
    <n v="2"/>
    <n v="190.82"/>
    <n v="0.2"/>
    <n v="15.27"/>
    <n v="7.58"/>
    <n v="328.16"/>
    <x v="0"/>
    <s v="Delivered"/>
    <x v="15"/>
    <x v="3"/>
    <x v="2"/>
    <s v="SELL00701"/>
  </r>
  <r>
    <x v="187"/>
    <x v="182"/>
    <s v="CUST036912"/>
    <s v="Karan Reddy"/>
    <s v="P00004"/>
    <s v="USB-C Charger"/>
    <x v="1"/>
    <x v="0"/>
    <n v="1"/>
    <n v="50.92"/>
    <n v="0.2"/>
    <n v="3.26"/>
    <n v="1.3"/>
    <n v="45.3"/>
    <x v="5"/>
    <s v="Delivered"/>
    <x v="13"/>
    <x v="10"/>
    <x v="1"/>
    <s v="SELL01658"/>
  </r>
  <r>
    <x v="188"/>
    <x v="183"/>
    <s v="CUST043111"/>
    <s v="Aarav Verma"/>
    <s v="P00033"/>
    <s v="Puzzle 1000pc"/>
    <x v="3"/>
    <x v="7"/>
    <n v="5"/>
    <n v="129.25"/>
    <n v="0.15"/>
    <n v="43.94"/>
    <n v="6.24"/>
    <n v="599.49"/>
    <x v="3"/>
    <s v="Shipped"/>
    <x v="3"/>
    <x v="2"/>
    <x v="1"/>
    <s v="SELL00429"/>
  </r>
  <r>
    <x v="189"/>
    <x v="184"/>
    <s v="CUST034016"/>
    <s v="Aditya Singh"/>
    <s v="P00046"/>
    <s v="Car Charger"/>
    <x v="4"/>
    <x v="2"/>
    <n v="3"/>
    <n v="416.84"/>
    <n v="0.15"/>
    <n v="85.04"/>
    <n v="14.4"/>
    <n v="1162.3800000000001"/>
    <x v="0"/>
    <s v="Delivered"/>
    <x v="14"/>
    <x v="11"/>
    <x v="1"/>
    <s v="SELL01532"/>
  </r>
  <r>
    <x v="190"/>
    <x v="138"/>
    <s v="CUST040748"/>
    <s v="Sahil Sharma"/>
    <s v="P00030"/>
    <s v="Dress Shirt"/>
    <x v="4"/>
    <x v="3"/>
    <n v="5"/>
    <n v="319.27999999999997"/>
    <n v="0.05"/>
    <n v="75.83"/>
    <n v="12.39"/>
    <n v="1604.8"/>
    <x v="1"/>
    <s v="Delivered"/>
    <x v="15"/>
    <x v="3"/>
    <x v="1"/>
    <s v="SELL00430"/>
  </r>
  <r>
    <x v="191"/>
    <x v="185"/>
    <s v="CUST004207"/>
    <s v="Vikas Kapoor"/>
    <s v="P00040"/>
    <s v="Microphone"/>
    <x v="0"/>
    <x v="2"/>
    <n v="2"/>
    <n v="67.540000000000006"/>
    <n v="0.05"/>
    <n v="10.27"/>
    <n v="1.64"/>
    <n v="140.24"/>
    <x v="1"/>
    <s v="Delivered"/>
    <x v="4"/>
    <x v="1"/>
    <x v="2"/>
    <s v="SELL00302"/>
  </r>
  <r>
    <x v="192"/>
    <x v="186"/>
    <s v="CUST041282"/>
    <s v="Sahil Singh"/>
    <s v="P00012"/>
    <s v="Noise Cancelling Headphones"/>
    <x v="3"/>
    <x v="4"/>
    <n v="2"/>
    <n v="289.23"/>
    <n v="0.1"/>
    <n v="0"/>
    <n v="13.08"/>
    <n v="533.69000000000005"/>
    <x v="1"/>
    <s v="Delivered"/>
    <x v="12"/>
    <x v="9"/>
    <x v="1"/>
    <s v="SELL00733"/>
  </r>
  <r>
    <x v="193"/>
    <x v="187"/>
    <s v="CUST044672"/>
    <s v="Karan Singh"/>
    <s v="P00019"/>
    <s v="LED Desk Lamp"/>
    <x v="1"/>
    <x v="4"/>
    <n v="2"/>
    <n v="373.58"/>
    <n v="0.2"/>
    <n v="47.82"/>
    <n v="8.74"/>
    <n v="654.29"/>
    <x v="3"/>
    <s v="Delivered"/>
    <x v="19"/>
    <x v="3"/>
    <x v="1"/>
    <s v="SELL00785"/>
  </r>
  <r>
    <x v="194"/>
    <x v="188"/>
    <s v="CUST004859"/>
    <s v="Vivaan Gupta"/>
    <s v="P00009"/>
    <s v="Portable SSD 1TB"/>
    <x v="4"/>
    <x v="2"/>
    <n v="4"/>
    <n v="359.89"/>
    <n v="0.05"/>
    <n v="68.38"/>
    <n v="13.15"/>
    <n v="1449.11"/>
    <x v="3"/>
    <s v="Delivered"/>
    <x v="0"/>
    <x v="0"/>
    <x v="1"/>
    <s v="SELL00999"/>
  </r>
  <r>
    <x v="195"/>
    <x v="189"/>
    <s v="CUST007154"/>
    <s v="Vikas Sharma"/>
    <s v="P00026"/>
    <s v="Sunglasses"/>
    <x v="3"/>
    <x v="9"/>
    <n v="5"/>
    <n v="449.1"/>
    <n v="0.1"/>
    <n v="101.05"/>
    <n v="7.48"/>
    <n v="2129.48"/>
    <x v="5"/>
    <s v="Delivered"/>
    <x v="15"/>
    <x v="3"/>
    <x v="1"/>
    <s v="SELL01298"/>
  </r>
  <r>
    <x v="196"/>
    <x v="190"/>
    <s v="CUST035993"/>
    <s v="Vikas Kumar"/>
    <s v="P00015"/>
    <s v="Instant Pot"/>
    <x v="5"/>
    <x v="4"/>
    <n v="3"/>
    <n v="270.41000000000003"/>
    <n v="0.1"/>
    <n v="36.51"/>
    <n v="3.91"/>
    <n v="770.53"/>
    <x v="1"/>
    <s v="Delivered"/>
    <x v="8"/>
    <x v="1"/>
    <x v="1"/>
    <s v="SELL00557"/>
  </r>
  <r>
    <x v="197"/>
    <x v="191"/>
    <s v="CUST027565"/>
    <s v="Sneha Verma"/>
    <s v="P00019"/>
    <s v="LED Desk Lamp"/>
    <x v="1"/>
    <x v="8"/>
    <n v="2"/>
    <n v="387.31"/>
    <n v="0"/>
    <n v="92.95"/>
    <n v="7.12"/>
    <n v="874.69"/>
    <x v="0"/>
    <s v="Delivered"/>
    <x v="18"/>
    <x v="3"/>
    <x v="1"/>
    <s v="SELL01488"/>
  </r>
  <r>
    <x v="198"/>
    <x v="192"/>
    <s v="CUST010007"/>
    <s v="Vikas Reddy"/>
    <s v="P00048"/>
    <s v="Wireless Charger"/>
    <x v="0"/>
    <x v="5"/>
    <n v="3"/>
    <n v="272.14"/>
    <n v="0"/>
    <n v="97.97"/>
    <n v="11.16"/>
    <n v="925.55"/>
    <x v="4"/>
    <s v="Delivered"/>
    <x v="19"/>
    <x v="3"/>
    <x v="2"/>
    <s v="SELL00096"/>
  </r>
  <r>
    <x v="199"/>
    <x v="193"/>
    <s v="CUST022505"/>
    <s v="Karan Kapoor"/>
    <s v="P00034"/>
    <s v="Desk Organizer"/>
    <x v="1"/>
    <x v="7"/>
    <n v="1"/>
    <n v="420.62"/>
    <n v="0"/>
    <n v="21.03"/>
    <n v="5.69"/>
    <n v="447.34"/>
    <x v="1"/>
    <s v="Shipped"/>
    <x v="16"/>
    <x v="1"/>
    <x v="1"/>
    <s v="SELL01489"/>
  </r>
  <r>
    <x v="200"/>
    <x v="194"/>
    <s v="CUST007081"/>
    <s v="Arjun Kumar"/>
    <s v="P00031"/>
    <s v="Kids Toy Car"/>
    <x v="2"/>
    <x v="6"/>
    <n v="4"/>
    <n v="575.92999999999995"/>
    <n v="0"/>
    <n v="0"/>
    <n v="14.5"/>
    <n v="2318.2199999999998"/>
    <x v="3"/>
    <s v="Delivered"/>
    <x v="16"/>
    <x v="1"/>
    <x v="0"/>
    <s v="SELL00230"/>
  </r>
  <r>
    <x v="201"/>
    <x v="195"/>
    <s v="CUST042401"/>
    <s v="Mohit Singh"/>
    <s v="P00019"/>
    <s v="LED Desk Lamp"/>
    <x v="3"/>
    <x v="0"/>
    <n v="5"/>
    <n v="167.97"/>
    <n v="0"/>
    <n v="0"/>
    <n v="8.35"/>
    <n v="848.2"/>
    <x v="4"/>
    <s v="Delivered"/>
    <x v="16"/>
    <x v="1"/>
    <x v="1"/>
    <s v="SELL00039"/>
  </r>
  <r>
    <x v="202"/>
    <x v="196"/>
    <s v="CUST040825"/>
    <s v="Karan Sharma"/>
    <s v="P00008"/>
    <s v="4K Monitor"/>
    <x v="3"/>
    <x v="1"/>
    <n v="5"/>
    <n v="471.14"/>
    <n v="0"/>
    <n v="188.46"/>
    <n v="4.18"/>
    <n v="2548.34"/>
    <x v="1"/>
    <s v="Delivered"/>
    <x v="7"/>
    <x v="5"/>
    <x v="2"/>
    <s v="SELL00154"/>
  </r>
  <r>
    <x v="203"/>
    <x v="197"/>
    <s v="CUST022812"/>
    <s v="Mohit Patel"/>
    <s v="P00041"/>
    <s v="Webcam Full HD"/>
    <x v="3"/>
    <x v="1"/>
    <n v="3"/>
    <n v="461.7"/>
    <n v="0.05"/>
    <n v="65.790000000000006"/>
    <n v="13.58"/>
    <n v="1395.21"/>
    <x v="3"/>
    <s v="Returned"/>
    <x v="1"/>
    <x v="1"/>
    <x v="0"/>
    <s v="SELL01177"/>
  </r>
  <r>
    <x v="204"/>
    <x v="198"/>
    <s v="CUST029448"/>
    <s v="Karan Kumar"/>
    <s v="P00036"/>
    <s v="Smart Light Bulb"/>
    <x v="4"/>
    <x v="7"/>
    <n v="2"/>
    <n v="303.77"/>
    <n v="0.25"/>
    <n v="22.78"/>
    <n v="11.47"/>
    <n v="489.9"/>
    <x v="4"/>
    <s v="Delivered"/>
    <x v="17"/>
    <x v="12"/>
    <x v="3"/>
    <s v="SELL00122"/>
  </r>
  <r>
    <x v="205"/>
    <x v="150"/>
    <s v="CUST025313"/>
    <s v="Pooja Singh"/>
    <s v="P00017"/>
    <s v="Electric Kettle"/>
    <x v="5"/>
    <x v="9"/>
    <n v="4"/>
    <n v="312.36"/>
    <n v="0.1"/>
    <n v="0"/>
    <n v="2.52"/>
    <n v="1127.02"/>
    <x v="3"/>
    <s v="Delivered"/>
    <x v="17"/>
    <x v="12"/>
    <x v="1"/>
    <s v="SELL01958"/>
  </r>
  <r>
    <x v="206"/>
    <x v="199"/>
    <s v="CUST029438"/>
    <s v="Vihaan Mehta"/>
    <s v="P00046"/>
    <s v="Car Charger"/>
    <x v="0"/>
    <x v="2"/>
    <n v="3"/>
    <n v="59.09"/>
    <n v="0.15"/>
    <n v="0"/>
    <n v="14.12"/>
    <n v="164.8"/>
    <x v="5"/>
    <s v="Delivered"/>
    <x v="6"/>
    <x v="4"/>
    <x v="0"/>
    <s v="SELL00705"/>
  </r>
  <r>
    <x v="207"/>
    <x v="200"/>
    <s v="CUST001181"/>
    <s v="Vivaan Joshi"/>
    <s v="P00022"/>
    <s v="Water Bottle"/>
    <x v="0"/>
    <x v="4"/>
    <n v="1"/>
    <n v="266.91000000000003"/>
    <n v="0.05"/>
    <n v="20.29"/>
    <n v="7.33"/>
    <n v="281.18"/>
    <x v="1"/>
    <s v="Delivered"/>
    <x v="14"/>
    <x v="11"/>
    <x v="0"/>
    <s v="SELL01609"/>
  </r>
  <r>
    <x v="208"/>
    <x v="201"/>
    <s v="CUST017264"/>
    <s v="Sneha Kumar"/>
    <s v="P00031"/>
    <s v="Kids Toy Car"/>
    <x v="5"/>
    <x v="3"/>
    <n v="3"/>
    <n v="568.01"/>
    <n v="0"/>
    <n v="0"/>
    <n v="12.94"/>
    <n v="1716.97"/>
    <x v="3"/>
    <s v="Delivered"/>
    <x v="19"/>
    <x v="3"/>
    <x v="4"/>
    <s v="SELL01838"/>
  </r>
  <r>
    <x v="209"/>
    <x v="141"/>
    <s v="CUST039608"/>
    <s v="Simran Patel"/>
    <s v="P00049"/>
    <s v="Children's Book"/>
    <x v="0"/>
    <x v="1"/>
    <n v="2"/>
    <n v="454.72"/>
    <n v="0.05"/>
    <n v="69.12"/>
    <n v="0.31"/>
    <n v="933.4"/>
    <x v="5"/>
    <s v="Shipped"/>
    <x v="5"/>
    <x v="3"/>
    <x v="0"/>
    <s v="SELL01140"/>
  </r>
  <r>
    <x v="210"/>
    <x v="202"/>
    <s v="CUST019237"/>
    <s v="Priya Kumar"/>
    <s v="P00035"/>
    <s v="Desk Plant"/>
    <x v="0"/>
    <x v="0"/>
    <n v="3"/>
    <n v="189.12"/>
    <n v="0.2"/>
    <n v="36.31"/>
    <n v="3.6"/>
    <n v="493.8"/>
    <x v="0"/>
    <s v="Delivered"/>
    <x v="10"/>
    <x v="7"/>
    <x v="4"/>
    <s v="SELL00479"/>
  </r>
  <r>
    <x v="211"/>
    <x v="93"/>
    <s v="CUST035731"/>
    <s v="Sneha Sharma"/>
    <s v="P00032"/>
    <s v="Board Game"/>
    <x v="1"/>
    <x v="0"/>
    <n v="5"/>
    <n v="104.68"/>
    <n v="0.15"/>
    <n v="35.590000000000003"/>
    <n v="2.38"/>
    <n v="482.86"/>
    <x v="4"/>
    <s v="Delivered"/>
    <x v="0"/>
    <x v="0"/>
    <x v="1"/>
    <s v="SELL00157"/>
  </r>
  <r>
    <x v="212"/>
    <x v="71"/>
    <s v="CUST012280"/>
    <s v="Rohit Mehta"/>
    <s v="P00049"/>
    <s v="Children's Book"/>
    <x v="4"/>
    <x v="0"/>
    <n v="2"/>
    <n v="116.03"/>
    <n v="0.2"/>
    <n v="14.85"/>
    <n v="5.54"/>
    <n v="206.04"/>
    <x v="2"/>
    <s v="Delivered"/>
    <x v="17"/>
    <x v="12"/>
    <x v="0"/>
    <s v="SELL01375"/>
  </r>
  <r>
    <x v="213"/>
    <x v="203"/>
    <s v="CUST003507"/>
    <s v="Anjali Gupta"/>
    <s v="P00017"/>
    <s v="Electric Kettle"/>
    <x v="2"/>
    <x v="5"/>
    <n v="3"/>
    <n v="83.31"/>
    <n v="0"/>
    <n v="19.989999999999998"/>
    <n v="3.48"/>
    <n v="273.39999999999998"/>
    <x v="4"/>
    <s v="Delivered"/>
    <x v="1"/>
    <x v="1"/>
    <x v="1"/>
    <s v="SELL00159"/>
  </r>
  <r>
    <x v="214"/>
    <x v="204"/>
    <s v="CUST023893"/>
    <s v="Aditya Gupta"/>
    <s v="P00002"/>
    <s v="Bluetooth Speaker"/>
    <x v="5"/>
    <x v="3"/>
    <n v="3"/>
    <n v="556.67999999999995"/>
    <n v="0"/>
    <n v="83.5"/>
    <n v="1.06"/>
    <n v="1754.6"/>
    <x v="0"/>
    <s v="Delivered"/>
    <x v="1"/>
    <x v="1"/>
    <x v="2"/>
    <s v="SELL01801"/>
  </r>
  <r>
    <x v="215"/>
    <x v="205"/>
    <s v="CUST008440"/>
    <s v="Vikas Reddy"/>
    <s v="P00016"/>
    <s v="Air Fryer"/>
    <x v="1"/>
    <x v="6"/>
    <n v="3"/>
    <n v="404.76"/>
    <n v="0"/>
    <n v="218.57"/>
    <n v="10.5"/>
    <n v="1443.35"/>
    <x v="0"/>
    <s v="Delivered"/>
    <x v="9"/>
    <x v="6"/>
    <x v="1"/>
    <s v="SELL00813"/>
  </r>
  <r>
    <x v="216"/>
    <x v="206"/>
    <s v="CUST019363"/>
    <s v="Sunita Reddy"/>
    <s v="P00005"/>
    <s v="Laptop Sleeve"/>
    <x v="3"/>
    <x v="7"/>
    <n v="5"/>
    <n v="470.82"/>
    <n v="0.1"/>
    <n v="169.5"/>
    <n v="12.39"/>
    <n v="2300.58"/>
    <x v="0"/>
    <s v="Delivered"/>
    <x v="7"/>
    <x v="5"/>
    <x v="1"/>
    <s v="SELL01565"/>
  </r>
  <r>
    <x v="217"/>
    <x v="207"/>
    <s v="CUST034266"/>
    <s v="Anjali Sharma"/>
    <s v="P00003"/>
    <s v="Smartphone Case"/>
    <x v="1"/>
    <x v="2"/>
    <n v="5"/>
    <n v="88.24"/>
    <n v="0"/>
    <n v="35.299999999999997"/>
    <n v="13.44"/>
    <n v="489.94"/>
    <x v="0"/>
    <s v="Delivered"/>
    <x v="8"/>
    <x v="1"/>
    <x v="0"/>
    <s v="SELL01516"/>
  </r>
  <r>
    <x v="218"/>
    <x v="208"/>
    <s v="CUST026742"/>
    <s v="Vihaan Gupta"/>
    <s v="P00021"/>
    <s v="Backpack"/>
    <x v="1"/>
    <x v="5"/>
    <n v="3"/>
    <n v="410.9"/>
    <n v="0"/>
    <n v="98.62"/>
    <n v="0.56999999999999995"/>
    <n v="1331.89"/>
    <x v="3"/>
    <s v="Delivered"/>
    <x v="15"/>
    <x v="3"/>
    <x v="0"/>
    <s v="SELL01863"/>
  </r>
  <r>
    <x v="219"/>
    <x v="209"/>
    <s v="CUST020572"/>
    <s v="Mohit Kapoor"/>
    <s v="P00025"/>
    <s v="Running Shoes"/>
    <x v="2"/>
    <x v="9"/>
    <n v="4"/>
    <n v="485.32"/>
    <n v="0.15"/>
    <n v="132.01"/>
    <n v="8.34"/>
    <n v="1790.44"/>
    <x v="1"/>
    <s v="Delivered"/>
    <x v="16"/>
    <x v="1"/>
    <x v="1"/>
    <s v="SELL01791"/>
  </r>
  <r>
    <x v="220"/>
    <x v="47"/>
    <s v="CUST012246"/>
    <s v="Pooja Sharma"/>
    <s v="P00028"/>
    <s v="Jeans"/>
    <x v="2"/>
    <x v="5"/>
    <n v="1"/>
    <n v="49.31"/>
    <n v="0"/>
    <n v="2.4700000000000002"/>
    <n v="0.69"/>
    <n v="52.47"/>
    <x v="0"/>
    <s v="Delivered"/>
    <x v="3"/>
    <x v="2"/>
    <x v="1"/>
    <s v="SELL00297"/>
  </r>
  <r>
    <x v="221"/>
    <x v="210"/>
    <s v="CUST021328"/>
    <s v="Vihaan Kapoor"/>
    <s v="P00017"/>
    <s v="Electric Kettle"/>
    <x v="4"/>
    <x v="8"/>
    <n v="4"/>
    <n v="389.67"/>
    <n v="0.05"/>
    <n v="118.46"/>
    <n v="3.29"/>
    <n v="1602.5"/>
    <x v="3"/>
    <s v="Delivered"/>
    <x v="15"/>
    <x v="3"/>
    <x v="1"/>
    <s v="SELL00328"/>
  </r>
  <r>
    <x v="222"/>
    <x v="211"/>
    <s v="CUST017932"/>
    <s v="Karan Patel"/>
    <s v="P00037"/>
    <s v="Router"/>
    <x v="1"/>
    <x v="7"/>
    <n v="1"/>
    <n v="450.05"/>
    <n v="0"/>
    <n v="22.5"/>
    <n v="1.2"/>
    <n v="473.75"/>
    <x v="5"/>
    <s v="Shipped"/>
    <x v="2"/>
    <x v="1"/>
    <x v="1"/>
    <s v="SELL00753"/>
  </r>
  <r>
    <x v="223"/>
    <x v="212"/>
    <s v="CUST030236"/>
    <s v="Anjali Mehta"/>
    <s v="P00018"/>
    <s v="Vacuum Cleaner"/>
    <x v="1"/>
    <x v="4"/>
    <n v="3"/>
    <n v="137.33000000000001"/>
    <n v="0.1"/>
    <n v="29.66"/>
    <n v="13.56"/>
    <n v="414.01"/>
    <x v="3"/>
    <s v="Delivered"/>
    <x v="4"/>
    <x v="1"/>
    <x v="0"/>
    <s v="SELL00080"/>
  </r>
  <r>
    <x v="224"/>
    <x v="213"/>
    <s v="CUST018375"/>
    <s v="Kabir Reddy"/>
    <s v="P00048"/>
    <s v="Wireless Charger"/>
    <x v="1"/>
    <x v="0"/>
    <n v="2"/>
    <n v="114.61"/>
    <n v="0"/>
    <n v="18.34"/>
    <n v="0.91"/>
    <n v="248.47"/>
    <x v="5"/>
    <s v="Delivered"/>
    <x v="14"/>
    <x v="11"/>
    <x v="1"/>
    <s v="SELL01913"/>
  </r>
  <r>
    <x v="225"/>
    <x v="214"/>
    <s v="CUST031704"/>
    <s v="Vihaan Mehta"/>
    <s v="P00026"/>
    <s v="Sunglasses"/>
    <x v="5"/>
    <x v="8"/>
    <n v="5"/>
    <n v="303.23"/>
    <n v="0"/>
    <n v="181.94"/>
    <n v="9.58"/>
    <n v="1707.67"/>
    <x v="3"/>
    <s v="Delivered"/>
    <x v="18"/>
    <x v="3"/>
    <x v="1"/>
    <s v="SELL00376"/>
  </r>
  <r>
    <x v="226"/>
    <x v="215"/>
    <s v="CUST003147"/>
    <s v="Ritika Kumar"/>
    <s v="P00023"/>
    <s v="Cookware Set"/>
    <x v="3"/>
    <x v="6"/>
    <n v="4"/>
    <n v="377.77"/>
    <n v="0.1"/>
    <n v="163.19999999999999"/>
    <n v="11.35"/>
    <n v="1534.52"/>
    <x v="1"/>
    <s v="Delivered"/>
    <x v="0"/>
    <x v="0"/>
    <x v="1"/>
    <s v="SELL00628"/>
  </r>
  <r>
    <x v="227"/>
    <x v="216"/>
    <s v="CUST014415"/>
    <s v="Pooja Sharma"/>
    <s v="P00020"/>
    <s v="Office Chair"/>
    <x v="5"/>
    <x v="0"/>
    <n v="5"/>
    <n v="165.72"/>
    <n v="0.05"/>
    <n v="62.97"/>
    <n v="4.46"/>
    <n v="854.6"/>
    <x v="3"/>
    <s v="Delivered"/>
    <x v="6"/>
    <x v="4"/>
    <x v="0"/>
    <s v="SELL01713"/>
  </r>
  <r>
    <x v="228"/>
    <x v="217"/>
    <s v="CUST001747"/>
    <s v="Karan Sharma"/>
    <s v="P00048"/>
    <s v="Wireless Charger"/>
    <x v="5"/>
    <x v="5"/>
    <n v="5"/>
    <n v="404.33"/>
    <n v="0"/>
    <n v="161.72999999999999"/>
    <n v="4.75"/>
    <n v="2188.13"/>
    <x v="3"/>
    <s v="Shipped"/>
    <x v="7"/>
    <x v="5"/>
    <x v="4"/>
    <s v="SELL00704"/>
  </r>
  <r>
    <x v="229"/>
    <x v="218"/>
    <s v="CUST031415"/>
    <s v="Aman Reddy"/>
    <s v="P00033"/>
    <s v="Puzzle 1000pc"/>
    <x v="3"/>
    <x v="1"/>
    <n v="5"/>
    <n v="493.81"/>
    <n v="0.3"/>
    <n v="138.27000000000001"/>
    <n v="14.7"/>
    <n v="1881.3"/>
    <x v="1"/>
    <s v="Pending"/>
    <x v="7"/>
    <x v="5"/>
    <x v="1"/>
    <s v="SELL00905"/>
  </r>
  <r>
    <x v="230"/>
    <x v="219"/>
    <s v="CUST048207"/>
    <s v="Rohit Patel"/>
    <s v="P00010"/>
    <s v="Smartwatch"/>
    <x v="1"/>
    <x v="8"/>
    <n v="1"/>
    <n v="590.16999999999996"/>
    <n v="0.15"/>
    <n v="25.08"/>
    <n v="3.79"/>
    <n v="530.51"/>
    <x v="3"/>
    <s v="Shipped"/>
    <x v="7"/>
    <x v="5"/>
    <x v="1"/>
    <s v="SELL01023"/>
  </r>
  <r>
    <x v="231"/>
    <x v="220"/>
    <s v="CUST019145"/>
    <s v="Karan Verma"/>
    <s v="P00026"/>
    <s v="Sunglasses"/>
    <x v="3"/>
    <x v="7"/>
    <n v="2"/>
    <n v="426.66"/>
    <n v="0.15"/>
    <n v="87.04"/>
    <n v="11.68"/>
    <n v="824.04"/>
    <x v="1"/>
    <s v="Delivered"/>
    <x v="9"/>
    <x v="6"/>
    <x v="1"/>
    <s v="SELL00212"/>
  </r>
  <r>
    <x v="232"/>
    <x v="221"/>
    <s v="CUST028877"/>
    <s v="Anjali Kapoor"/>
    <s v="P00005"/>
    <s v="Laptop Sleeve"/>
    <x v="1"/>
    <x v="1"/>
    <n v="3"/>
    <n v="512.13"/>
    <n v="0"/>
    <n v="122.91"/>
    <n v="14.93"/>
    <n v="1674.23"/>
    <x v="5"/>
    <s v="Delivered"/>
    <x v="6"/>
    <x v="4"/>
    <x v="1"/>
    <s v="SELL00809"/>
  </r>
  <r>
    <x v="233"/>
    <x v="222"/>
    <s v="CUST006962"/>
    <s v="Anjali Verma"/>
    <s v="P00012"/>
    <s v="Noise Cancelling Headphones"/>
    <x v="3"/>
    <x v="7"/>
    <n v="4"/>
    <n v="139.59"/>
    <n v="0.05"/>
    <n v="26.52"/>
    <n v="0.4"/>
    <n v="557.36"/>
    <x v="0"/>
    <s v="Shipped"/>
    <x v="1"/>
    <x v="1"/>
    <x v="1"/>
    <s v="SELL00871"/>
  </r>
  <r>
    <x v="234"/>
    <x v="223"/>
    <s v="CUST037405"/>
    <s v="Priya Reddy"/>
    <s v="P00034"/>
    <s v="Desk Organizer"/>
    <x v="2"/>
    <x v="2"/>
    <n v="2"/>
    <n v="130.46"/>
    <n v="0.1"/>
    <n v="18.79"/>
    <n v="0.38"/>
    <n v="254"/>
    <x v="0"/>
    <s v="Delivered"/>
    <x v="7"/>
    <x v="5"/>
    <x v="1"/>
    <s v="SELL00685"/>
  </r>
  <r>
    <x v="235"/>
    <x v="224"/>
    <s v="CUST025402"/>
    <s v="Priya Mehta"/>
    <s v="P00030"/>
    <s v="Dress Shirt"/>
    <x v="5"/>
    <x v="5"/>
    <n v="5"/>
    <n v="574.24"/>
    <n v="0"/>
    <n v="143.56"/>
    <n v="13.09"/>
    <n v="3027.85"/>
    <x v="3"/>
    <s v="Shipped"/>
    <x v="6"/>
    <x v="4"/>
    <x v="1"/>
    <s v="SELL00618"/>
  </r>
  <r>
    <x v="236"/>
    <x v="225"/>
    <s v="CUST029978"/>
    <s v="Anjali Mehta"/>
    <s v="P00047"/>
    <s v="Memory Card 128GB"/>
    <x v="2"/>
    <x v="3"/>
    <n v="1"/>
    <n v="432.72"/>
    <n v="0.2"/>
    <n v="62.31"/>
    <n v="14.85"/>
    <n v="423.34"/>
    <x v="2"/>
    <s v="Delivered"/>
    <x v="5"/>
    <x v="3"/>
    <x v="0"/>
    <s v="SELL00273"/>
  </r>
  <r>
    <x v="237"/>
    <x v="210"/>
    <s v="CUST049175"/>
    <s v="Priya Reddy"/>
    <s v="P00021"/>
    <s v="Backpack"/>
    <x v="5"/>
    <x v="8"/>
    <n v="5"/>
    <n v="73.55"/>
    <n v="0.15"/>
    <n v="0"/>
    <n v="9.0299999999999994"/>
    <n v="321.62"/>
    <x v="0"/>
    <s v="Delivered"/>
    <x v="12"/>
    <x v="9"/>
    <x v="1"/>
    <s v="SELL00238"/>
  </r>
  <r>
    <x v="238"/>
    <x v="226"/>
    <s v="CUST028805"/>
    <s v="Arjun Kumar"/>
    <s v="P00022"/>
    <s v="Water Bottle"/>
    <x v="5"/>
    <x v="3"/>
    <n v="1"/>
    <n v="257.51"/>
    <n v="0.1"/>
    <n v="41.72"/>
    <n v="5.25"/>
    <n v="278.73"/>
    <x v="3"/>
    <s v="Delivered"/>
    <x v="5"/>
    <x v="3"/>
    <x v="1"/>
    <s v="SELL01434"/>
  </r>
  <r>
    <x v="239"/>
    <x v="154"/>
    <s v="CUST024635"/>
    <s v="Karan Mehta"/>
    <s v="P00050"/>
    <s v="Novel Bestseller"/>
    <x v="2"/>
    <x v="7"/>
    <n v="5"/>
    <n v="338.76"/>
    <n v="0.05"/>
    <n v="193.09"/>
    <n v="12.46"/>
    <n v="1814.66"/>
    <x v="4"/>
    <s v="Delivered"/>
    <x v="1"/>
    <x v="1"/>
    <x v="0"/>
    <s v="SELL00311"/>
  </r>
  <r>
    <x v="240"/>
    <x v="227"/>
    <s v="CUST034448"/>
    <s v="Mohit Kapoor"/>
    <s v="P00035"/>
    <s v="Desk Plant"/>
    <x v="5"/>
    <x v="8"/>
    <n v="2"/>
    <n v="139.97"/>
    <n v="0"/>
    <n v="22.4"/>
    <n v="14.9"/>
    <n v="317.24"/>
    <x v="4"/>
    <s v="Delivered"/>
    <x v="10"/>
    <x v="7"/>
    <x v="3"/>
    <s v="SELL00709"/>
  </r>
  <r>
    <x v="241"/>
    <x v="228"/>
    <s v="CUST040551"/>
    <s v="Ritika Gupta"/>
    <s v="P00028"/>
    <s v="Jeans"/>
    <x v="5"/>
    <x v="3"/>
    <n v="4"/>
    <n v="202.98"/>
    <n v="0.1"/>
    <n v="58.46"/>
    <n v="0.09"/>
    <n v="789.28"/>
    <x v="2"/>
    <s v="Delivered"/>
    <x v="11"/>
    <x v="8"/>
    <x v="2"/>
    <s v="SELL01881"/>
  </r>
  <r>
    <x v="242"/>
    <x v="229"/>
    <s v="CUST034398"/>
    <s v="Sunita Reddy"/>
    <s v="P00040"/>
    <s v="Microphone"/>
    <x v="1"/>
    <x v="3"/>
    <n v="4"/>
    <n v="319.11"/>
    <n v="0"/>
    <n v="63.82"/>
    <n v="4.1500000000000004"/>
    <n v="1344.41"/>
    <x v="2"/>
    <s v="Delivered"/>
    <x v="4"/>
    <x v="1"/>
    <x v="1"/>
    <s v="SELL01539"/>
  </r>
  <r>
    <x v="243"/>
    <x v="230"/>
    <s v="CUST042901"/>
    <s v="Aarav Gupta"/>
    <s v="P00014"/>
    <s v="Drone Mini"/>
    <x v="1"/>
    <x v="2"/>
    <n v="1"/>
    <n v="370.47"/>
    <n v="0.15"/>
    <n v="37.79"/>
    <n v="0.89"/>
    <n v="353.58"/>
    <x v="1"/>
    <s v="Delivered"/>
    <x v="17"/>
    <x v="12"/>
    <x v="1"/>
    <s v="SELL01937"/>
  </r>
  <r>
    <x v="244"/>
    <x v="126"/>
    <s v="CUST029445"/>
    <s v="Priya Kumar"/>
    <s v="P00004"/>
    <s v="USB-C Charger"/>
    <x v="2"/>
    <x v="0"/>
    <n v="5"/>
    <n v="45.49"/>
    <n v="0.2"/>
    <n v="32.75"/>
    <n v="0.02"/>
    <n v="214.73"/>
    <x v="0"/>
    <s v="Delivered"/>
    <x v="11"/>
    <x v="8"/>
    <x v="0"/>
    <s v="SELL00878"/>
  </r>
  <r>
    <x v="245"/>
    <x v="231"/>
    <s v="CUST039354"/>
    <s v="Karan Kapoor"/>
    <s v="P00014"/>
    <s v="Drone Mini"/>
    <x v="2"/>
    <x v="5"/>
    <n v="3"/>
    <n v="116.12"/>
    <n v="0"/>
    <n v="62.7"/>
    <n v="5.45"/>
    <n v="416.51"/>
    <x v="3"/>
    <s v="Delivered"/>
    <x v="11"/>
    <x v="8"/>
    <x v="0"/>
    <s v="SELL01817"/>
  </r>
  <r>
    <x v="246"/>
    <x v="232"/>
    <s v="CUST047386"/>
    <s v="Kabir Patel"/>
    <s v="P00013"/>
    <s v="Action Camera"/>
    <x v="5"/>
    <x v="0"/>
    <n v="3"/>
    <n v="297.86"/>
    <n v="0.2"/>
    <n v="85.78"/>
    <n v="7.14"/>
    <n v="807.78"/>
    <x v="3"/>
    <s v="Shipped"/>
    <x v="14"/>
    <x v="11"/>
    <x v="1"/>
    <s v="SELL01554"/>
  </r>
  <r>
    <x v="247"/>
    <x v="233"/>
    <s v="CUST014192"/>
    <s v="Simran Joshi"/>
    <s v="P00014"/>
    <s v="Drone Mini"/>
    <x v="3"/>
    <x v="7"/>
    <n v="5"/>
    <n v="89.26"/>
    <n v="0"/>
    <n v="35.700000000000003"/>
    <n v="2.92"/>
    <n v="484.92"/>
    <x v="0"/>
    <s v="Delivered"/>
    <x v="18"/>
    <x v="3"/>
    <x v="1"/>
    <s v="SELL01901"/>
  </r>
  <r>
    <x v="248"/>
    <x v="234"/>
    <s v="CUST027774"/>
    <s v="Simran Kumar"/>
    <s v="P00011"/>
    <s v="Fitness Band"/>
    <x v="5"/>
    <x v="7"/>
    <n v="4"/>
    <n v="73.540000000000006"/>
    <n v="0.2"/>
    <n v="18.829999999999998"/>
    <n v="11.23"/>
    <n v="265.39"/>
    <x v="0"/>
    <s v="Delivered"/>
    <x v="3"/>
    <x v="2"/>
    <x v="1"/>
    <s v="SELL01387"/>
  </r>
  <r>
    <x v="249"/>
    <x v="235"/>
    <s v="CUST045022"/>
    <s v="Aman Joshi"/>
    <s v="P00036"/>
    <s v="Smart Light Bulb"/>
    <x v="1"/>
    <x v="8"/>
    <n v="4"/>
    <n v="214.42"/>
    <n v="0"/>
    <n v="102.92"/>
    <n v="9.31"/>
    <n v="969.91"/>
    <x v="3"/>
    <s v="Delivered"/>
    <x v="13"/>
    <x v="10"/>
    <x v="1"/>
    <s v="SELL008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0BB33B-4B24-4135-926F-225D997016C9}" name="PivotTable1"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0" firstHeaderRow="1" firstDataRow="1" firstDataCol="1"/>
  <pivotFields count="24">
    <pivotField showAll="0"/>
    <pivotField numFmtId="14" showAll="0">
      <items count="237">
        <item x="65"/>
        <item x="120"/>
        <item x="58"/>
        <item x="34"/>
        <item x="78"/>
        <item x="140"/>
        <item x="121"/>
        <item x="14"/>
        <item x="72"/>
        <item x="181"/>
        <item x="153"/>
        <item x="9"/>
        <item x="19"/>
        <item x="142"/>
        <item x="94"/>
        <item x="60"/>
        <item x="115"/>
        <item x="47"/>
        <item x="143"/>
        <item x="95"/>
        <item x="79"/>
        <item x="169"/>
        <item x="113"/>
        <item x="138"/>
        <item x="66"/>
        <item x="35"/>
        <item x="97"/>
        <item x="30"/>
        <item x="134"/>
        <item x="105"/>
        <item x="64"/>
        <item x="224"/>
        <item x="12"/>
        <item x="109"/>
        <item x="23"/>
        <item x="135"/>
        <item x="116"/>
        <item x="27"/>
        <item x="62"/>
        <item x="131"/>
        <item x="168"/>
        <item x="165"/>
        <item x="91"/>
        <item x="149"/>
        <item x="133"/>
        <item x="235"/>
        <item x="99"/>
        <item x="32"/>
        <item x="10"/>
        <item x="39"/>
        <item x="183"/>
        <item x="117"/>
        <item x="148"/>
        <item x="76"/>
        <item x="41"/>
        <item x="122"/>
        <item x="190"/>
        <item x="188"/>
        <item x="198"/>
        <item x="50"/>
        <item x="179"/>
        <item x="69"/>
        <item x="86"/>
        <item x="196"/>
        <item x="130"/>
        <item x="63"/>
        <item x="159"/>
        <item x="215"/>
        <item x="214"/>
        <item x="160"/>
        <item x="200"/>
        <item x="57"/>
        <item x="125"/>
        <item x="223"/>
        <item x="227"/>
        <item x="197"/>
        <item x="154"/>
        <item x="49"/>
        <item x="44"/>
        <item x="90"/>
        <item x="220"/>
        <item x="107"/>
        <item x="155"/>
        <item x="92"/>
        <item x="177"/>
        <item x="36"/>
        <item x="185"/>
        <item x="114"/>
        <item x="164"/>
        <item x="22"/>
        <item x="77"/>
        <item x="67"/>
        <item x="144"/>
        <item x="112"/>
        <item x="167"/>
        <item x="201"/>
        <item x="152"/>
        <item x="26"/>
        <item x="98"/>
        <item x="53"/>
        <item x="59"/>
        <item x="37"/>
        <item x="2"/>
        <item x="176"/>
        <item x="166"/>
        <item x="17"/>
        <item x="110"/>
        <item x="172"/>
        <item x="70"/>
        <item x="145"/>
        <item x="29"/>
        <item x="48"/>
        <item x="157"/>
        <item x="216"/>
        <item x="45"/>
        <item x="96"/>
        <item x="199"/>
        <item x="103"/>
        <item x="139"/>
        <item x="180"/>
        <item x="84"/>
        <item x="83"/>
        <item x="162"/>
        <item x="170"/>
        <item x="7"/>
        <item x="141"/>
        <item x="146"/>
        <item x="189"/>
        <item x="118"/>
        <item x="147"/>
        <item x="111"/>
        <item x="40"/>
        <item x="127"/>
        <item x="5"/>
        <item x="80"/>
        <item x="194"/>
        <item x="16"/>
        <item x="0"/>
        <item x="87"/>
        <item x="4"/>
        <item x="233"/>
        <item x="124"/>
        <item x="55"/>
        <item x="128"/>
        <item x="119"/>
        <item x="191"/>
        <item x="31"/>
        <item x="187"/>
        <item x="28"/>
        <item x="11"/>
        <item x="163"/>
        <item x="210"/>
        <item x="209"/>
        <item x="231"/>
        <item x="226"/>
        <item x="178"/>
        <item x="193"/>
        <item x="52"/>
        <item x="102"/>
        <item x="218"/>
        <item x="3"/>
        <item x="61"/>
        <item x="213"/>
        <item x="21"/>
        <item x="33"/>
        <item x="204"/>
        <item x="71"/>
        <item x="123"/>
        <item x="68"/>
        <item x="207"/>
        <item x="219"/>
        <item x="73"/>
        <item x="15"/>
        <item x="228"/>
        <item x="212"/>
        <item x="211"/>
        <item x="82"/>
        <item x="85"/>
        <item x="184"/>
        <item x="222"/>
        <item x="25"/>
        <item x="75"/>
        <item x="1"/>
        <item x="74"/>
        <item x="221"/>
        <item x="13"/>
        <item x="173"/>
        <item x="100"/>
        <item x="126"/>
        <item x="208"/>
        <item x="43"/>
        <item x="89"/>
        <item x="56"/>
        <item x="137"/>
        <item x="24"/>
        <item x="234"/>
        <item x="129"/>
        <item x="54"/>
        <item x="206"/>
        <item x="156"/>
        <item x="171"/>
        <item x="93"/>
        <item x="38"/>
        <item x="81"/>
        <item x="51"/>
        <item x="150"/>
        <item x="175"/>
        <item x="230"/>
        <item x="8"/>
        <item x="202"/>
        <item x="205"/>
        <item x="186"/>
        <item x="20"/>
        <item x="18"/>
        <item x="229"/>
        <item x="132"/>
        <item x="225"/>
        <item x="42"/>
        <item x="174"/>
        <item x="232"/>
        <item x="192"/>
        <item x="6"/>
        <item x="104"/>
        <item x="106"/>
        <item x="101"/>
        <item x="151"/>
        <item x="182"/>
        <item x="158"/>
        <item x="217"/>
        <item x="108"/>
        <item x="161"/>
        <item x="88"/>
        <item x="136"/>
        <item x="46"/>
        <item x="195"/>
        <item x="203"/>
        <item t="default"/>
      </items>
    </pivotField>
    <pivotField showAll="0"/>
    <pivotField showAll="0"/>
    <pivotField showAll="0"/>
    <pivotField showAll="0"/>
    <pivotField axis="axisRow" showAll="0">
      <items count="7">
        <item x="0"/>
        <item x="2"/>
        <item x="5"/>
        <item x="1"/>
        <item x="4"/>
        <item x="3"/>
        <item t="default"/>
      </items>
    </pivotField>
    <pivotField showAll="0">
      <items count="11">
        <item x="5"/>
        <item x="0"/>
        <item x="8"/>
        <item x="7"/>
        <item x="6"/>
        <item x="3"/>
        <item x="9"/>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items count="6">
        <item x="3"/>
        <item x="2"/>
        <item x="0"/>
        <item x="4"/>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6"/>
  </rowFields>
  <rowItems count="7">
    <i>
      <x/>
    </i>
    <i>
      <x v="1"/>
    </i>
    <i>
      <x v="2"/>
    </i>
    <i>
      <x v="3"/>
    </i>
    <i>
      <x v="4"/>
    </i>
    <i>
      <x v="5"/>
    </i>
    <i t="grand">
      <x/>
    </i>
  </rowItems>
  <colItems count="1">
    <i/>
  </colItems>
  <dataFields count="1">
    <dataField name="Sum of TotalAmoun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5538FE-F436-4C23-8A8A-D6B7EADD92A9}" name="PivotTable2"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9" firstHeaderRow="1" firstDataRow="1" firstDataCol="1"/>
  <pivotFields count="24">
    <pivotField showAll="0"/>
    <pivotField numFmtId="14" showAll="0">
      <items count="237">
        <item x="65"/>
        <item x="120"/>
        <item x="58"/>
        <item x="34"/>
        <item x="78"/>
        <item x="140"/>
        <item x="121"/>
        <item x="14"/>
        <item x="72"/>
        <item x="181"/>
        <item x="153"/>
        <item x="9"/>
        <item x="19"/>
        <item x="142"/>
        <item x="94"/>
        <item x="60"/>
        <item x="115"/>
        <item x="47"/>
        <item x="143"/>
        <item x="95"/>
        <item x="79"/>
        <item x="169"/>
        <item x="113"/>
        <item x="138"/>
        <item x="66"/>
        <item x="35"/>
        <item x="97"/>
        <item x="30"/>
        <item x="134"/>
        <item x="105"/>
        <item x="64"/>
        <item x="224"/>
        <item x="12"/>
        <item x="109"/>
        <item x="23"/>
        <item x="135"/>
        <item x="116"/>
        <item x="27"/>
        <item x="62"/>
        <item x="131"/>
        <item x="168"/>
        <item x="165"/>
        <item x="91"/>
        <item x="149"/>
        <item x="133"/>
        <item x="235"/>
        <item x="99"/>
        <item x="32"/>
        <item x="10"/>
        <item x="39"/>
        <item x="183"/>
        <item x="117"/>
        <item x="148"/>
        <item x="76"/>
        <item x="41"/>
        <item x="122"/>
        <item x="190"/>
        <item x="188"/>
        <item x="198"/>
        <item x="50"/>
        <item x="179"/>
        <item x="69"/>
        <item x="86"/>
        <item x="196"/>
        <item x="130"/>
        <item x="63"/>
        <item x="159"/>
        <item x="215"/>
        <item x="214"/>
        <item x="160"/>
        <item x="200"/>
        <item x="57"/>
        <item x="125"/>
        <item x="223"/>
        <item x="227"/>
        <item x="197"/>
        <item x="154"/>
        <item x="49"/>
        <item x="44"/>
        <item x="90"/>
        <item x="220"/>
        <item x="107"/>
        <item x="155"/>
        <item x="92"/>
        <item x="177"/>
        <item x="36"/>
        <item x="185"/>
        <item x="114"/>
        <item x="164"/>
        <item x="22"/>
        <item x="77"/>
        <item x="67"/>
        <item x="144"/>
        <item x="112"/>
        <item x="167"/>
        <item x="201"/>
        <item x="152"/>
        <item x="26"/>
        <item x="98"/>
        <item x="53"/>
        <item x="59"/>
        <item x="37"/>
        <item x="2"/>
        <item x="176"/>
        <item x="166"/>
        <item x="17"/>
        <item x="110"/>
        <item x="172"/>
        <item x="70"/>
        <item x="145"/>
        <item x="29"/>
        <item x="48"/>
        <item x="157"/>
        <item x="216"/>
        <item x="45"/>
        <item x="96"/>
        <item x="199"/>
        <item x="103"/>
        <item x="139"/>
        <item x="180"/>
        <item x="84"/>
        <item x="83"/>
        <item x="162"/>
        <item x="170"/>
        <item x="7"/>
        <item x="141"/>
        <item x="146"/>
        <item x="189"/>
        <item x="118"/>
        <item x="147"/>
        <item x="111"/>
        <item x="40"/>
        <item x="127"/>
        <item x="5"/>
        <item x="80"/>
        <item x="194"/>
        <item x="16"/>
        <item x="0"/>
        <item x="87"/>
        <item x="4"/>
        <item x="233"/>
        <item x="124"/>
        <item x="55"/>
        <item x="128"/>
        <item x="119"/>
        <item x="191"/>
        <item x="31"/>
        <item x="187"/>
        <item x="28"/>
        <item x="11"/>
        <item x="163"/>
        <item x="210"/>
        <item x="209"/>
        <item x="231"/>
        <item x="226"/>
        <item x="178"/>
        <item x="193"/>
        <item x="52"/>
        <item x="102"/>
        <item x="218"/>
        <item x="3"/>
        <item x="61"/>
        <item x="213"/>
        <item x="21"/>
        <item x="33"/>
        <item x="204"/>
        <item x="71"/>
        <item x="123"/>
        <item x="68"/>
        <item x="207"/>
        <item x="219"/>
        <item x="73"/>
        <item x="15"/>
        <item x="228"/>
        <item x="212"/>
        <item x="211"/>
        <item x="82"/>
        <item x="85"/>
        <item x="184"/>
        <item x="222"/>
        <item x="25"/>
        <item x="75"/>
        <item x="1"/>
        <item x="74"/>
        <item x="221"/>
        <item x="13"/>
        <item x="173"/>
        <item x="100"/>
        <item x="126"/>
        <item x="208"/>
        <item x="43"/>
        <item x="89"/>
        <item x="56"/>
        <item x="137"/>
        <item x="24"/>
        <item x="234"/>
        <item x="129"/>
        <item x="54"/>
        <item x="206"/>
        <item x="156"/>
        <item x="171"/>
        <item x="93"/>
        <item x="38"/>
        <item x="81"/>
        <item x="51"/>
        <item x="150"/>
        <item x="175"/>
        <item x="230"/>
        <item x="8"/>
        <item x="202"/>
        <item x="205"/>
        <item x="186"/>
        <item x="20"/>
        <item x="18"/>
        <item x="229"/>
        <item x="132"/>
        <item x="225"/>
        <item x="42"/>
        <item x="174"/>
        <item x="232"/>
        <item x="192"/>
        <item x="6"/>
        <item x="104"/>
        <item x="106"/>
        <item x="101"/>
        <item x="151"/>
        <item x="182"/>
        <item x="158"/>
        <item x="217"/>
        <item x="108"/>
        <item x="161"/>
        <item x="88"/>
        <item x="136"/>
        <item x="46"/>
        <item x="195"/>
        <item x="203"/>
        <item t="default"/>
      </items>
    </pivotField>
    <pivotField showAll="0"/>
    <pivotField showAll="0"/>
    <pivotField showAll="0"/>
    <pivotField showAll="0"/>
    <pivotField showAll="0">
      <items count="7">
        <item x="0"/>
        <item x="2"/>
        <item x="5"/>
        <item x="1"/>
        <item x="4"/>
        <item x="3"/>
        <item t="default"/>
      </items>
    </pivotField>
    <pivotField showAll="0">
      <items count="11">
        <item x="5"/>
        <item x="0"/>
        <item x="8"/>
        <item x="7"/>
        <item x="6"/>
        <item x="3"/>
        <item x="9"/>
        <item x="4"/>
        <item x="1"/>
        <item x="2"/>
        <item t="default"/>
      </items>
    </pivotField>
    <pivotField showAll="0"/>
    <pivotField showAll="0"/>
    <pivotField showAll="0"/>
    <pivotField showAll="0"/>
    <pivotField showAll="0"/>
    <pivotField dataField="1" showAll="0"/>
    <pivotField showAll="0"/>
    <pivotField showAll="0"/>
    <pivotField showAll="0" sortType="ascending">
      <items count="21">
        <item x="2"/>
        <item x="3"/>
        <item x="6"/>
        <item x="17"/>
        <item x="16"/>
        <item x="7"/>
        <item x="1"/>
        <item x="8"/>
        <item x="12"/>
        <item x="9"/>
        <item x="5"/>
        <item x="10"/>
        <item x="13"/>
        <item x="14"/>
        <item x="4"/>
        <item x="15"/>
        <item x="18"/>
        <item x="19"/>
        <item x="11"/>
        <item x="0"/>
        <item t="default"/>
      </items>
    </pivotField>
    <pivotField axis="axisRow" showAll="0">
      <items count="14">
        <item x="11"/>
        <item x="3"/>
        <item x="5"/>
        <item x="0"/>
        <item x="6"/>
        <item h="1" x="4"/>
        <item h="1" x="9"/>
        <item h="1" x="2"/>
        <item h="1" x="7"/>
        <item h="1" x="12"/>
        <item h="1" x="10"/>
        <item h="1" x="1"/>
        <item h="1" x="8"/>
        <item t="default"/>
      </items>
    </pivotField>
    <pivotField showAll="0">
      <items count="6">
        <item x="3"/>
        <item x="2"/>
        <item x="0"/>
        <item x="4"/>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7"/>
  </rowFields>
  <rowItems count="6">
    <i>
      <x/>
    </i>
    <i>
      <x v="1"/>
    </i>
    <i>
      <x v="2"/>
    </i>
    <i>
      <x v="3"/>
    </i>
    <i>
      <x v="4"/>
    </i>
    <i t="grand">
      <x/>
    </i>
  </rowItems>
  <colItems count="1">
    <i/>
  </colItems>
  <dataFields count="1">
    <dataField name="Sum of TotalAmoun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26EC41-15B3-4C17-A9CD-B02014E0374D}" name="PivotTable3"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10" firstHeaderRow="1" firstDataRow="1" firstDataCol="1"/>
  <pivotFields count="24">
    <pivotField showAll="0"/>
    <pivotField numFmtId="14" showAll="0">
      <items count="237">
        <item x="65"/>
        <item x="120"/>
        <item x="58"/>
        <item x="34"/>
        <item x="78"/>
        <item x="140"/>
        <item x="121"/>
        <item x="14"/>
        <item x="72"/>
        <item x="181"/>
        <item x="153"/>
        <item x="9"/>
        <item x="19"/>
        <item x="142"/>
        <item x="94"/>
        <item x="60"/>
        <item x="115"/>
        <item x="47"/>
        <item x="143"/>
        <item x="95"/>
        <item x="79"/>
        <item x="169"/>
        <item x="113"/>
        <item x="138"/>
        <item x="66"/>
        <item x="35"/>
        <item x="97"/>
        <item x="30"/>
        <item x="134"/>
        <item x="105"/>
        <item x="64"/>
        <item x="224"/>
        <item x="12"/>
        <item x="109"/>
        <item x="23"/>
        <item x="135"/>
        <item x="116"/>
        <item x="27"/>
        <item x="62"/>
        <item x="131"/>
        <item x="168"/>
        <item x="165"/>
        <item x="91"/>
        <item x="149"/>
        <item x="133"/>
        <item x="235"/>
        <item x="99"/>
        <item x="32"/>
        <item x="10"/>
        <item x="39"/>
        <item x="183"/>
        <item x="117"/>
        <item x="148"/>
        <item x="76"/>
        <item x="41"/>
        <item x="122"/>
        <item x="190"/>
        <item x="188"/>
        <item x="198"/>
        <item x="50"/>
        <item x="179"/>
        <item x="69"/>
        <item x="86"/>
        <item x="196"/>
        <item x="130"/>
        <item x="63"/>
        <item x="159"/>
        <item x="215"/>
        <item x="214"/>
        <item x="160"/>
        <item x="200"/>
        <item x="57"/>
        <item x="125"/>
        <item x="223"/>
        <item x="227"/>
        <item x="197"/>
        <item x="154"/>
        <item x="49"/>
        <item x="44"/>
        <item x="90"/>
        <item x="220"/>
        <item x="107"/>
        <item x="155"/>
        <item x="92"/>
        <item x="177"/>
        <item x="36"/>
        <item x="185"/>
        <item x="114"/>
        <item x="164"/>
        <item x="22"/>
        <item x="77"/>
        <item x="67"/>
        <item x="144"/>
        <item x="112"/>
        <item x="167"/>
        <item x="201"/>
        <item x="152"/>
        <item x="26"/>
        <item x="98"/>
        <item x="53"/>
        <item x="59"/>
        <item x="37"/>
        <item x="2"/>
        <item x="176"/>
        <item x="166"/>
        <item x="17"/>
        <item x="110"/>
        <item x="172"/>
        <item x="70"/>
        <item x="145"/>
        <item x="29"/>
        <item x="48"/>
        <item x="157"/>
        <item x="216"/>
        <item x="45"/>
        <item x="96"/>
        <item x="199"/>
        <item x="103"/>
        <item x="139"/>
        <item x="180"/>
        <item x="84"/>
        <item x="83"/>
        <item x="162"/>
        <item x="170"/>
        <item x="7"/>
        <item x="141"/>
        <item x="146"/>
        <item x="189"/>
        <item x="118"/>
        <item x="147"/>
        <item x="111"/>
        <item x="40"/>
        <item x="127"/>
        <item x="5"/>
        <item x="80"/>
        <item x="194"/>
        <item x="16"/>
        <item x="0"/>
        <item x="87"/>
        <item x="4"/>
        <item x="233"/>
        <item x="124"/>
        <item x="55"/>
        <item x="128"/>
        <item x="119"/>
        <item x="191"/>
        <item x="31"/>
        <item x="187"/>
        <item x="28"/>
        <item x="11"/>
        <item x="163"/>
        <item x="210"/>
        <item x="209"/>
        <item x="231"/>
        <item x="226"/>
        <item x="178"/>
        <item x="193"/>
        <item x="52"/>
        <item x="102"/>
        <item x="218"/>
        <item x="3"/>
        <item x="61"/>
        <item x="213"/>
        <item x="21"/>
        <item x="33"/>
        <item x="204"/>
        <item x="71"/>
        <item x="123"/>
        <item x="68"/>
        <item x="207"/>
        <item x="219"/>
        <item x="73"/>
        <item x="15"/>
        <item x="228"/>
        <item x="212"/>
        <item x="211"/>
        <item x="82"/>
        <item x="85"/>
        <item x="184"/>
        <item x="222"/>
        <item x="25"/>
        <item x="75"/>
        <item x="1"/>
        <item x="74"/>
        <item x="221"/>
        <item x="13"/>
        <item x="173"/>
        <item x="100"/>
        <item x="126"/>
        <item x="208"/>
        <item x="43"/>
        <item x="89"/>
        <item x="56"/>
        <item x="137"/>
        <item x="24"/>
        <item x="234"/>
        <item x="129"/>
        <item x="54"/>
        <item x="206"/>
        <item x="156"/>
        <item x="171"/>
        <item x="93"/>
        <item x="38"/>
        <item x="81"/>
        <item x="51"/>
        <item x="150"/>
        <item x="175"/>
        <item x="230"/>
        <item x="8"/>
        <item x="202"/>
        <item x="205"/>
        <item x="186"/>
        <item x="20"/>
        <item x="18"/>
        <item x="229"/>
        <item x="132"/>
        <item x="225"/>
        <item x="42"/>
        <item x="174"/>
        <item x="232"/>
        <item x="192"/>
        <item x="6"/>
        <item x="104"/>
        <item x="106"/>
        <item x="101"/>
        <item x="151"/>
        <item x="182"/>
        <item x="158"/>
        <item x="217"/>
        <item x="108"/>
        <item x="161"/>
        <item x="88"/>
        <item x="136"/>
        <item x="46"/>
        <item x="195"/>
        <item x="203"/>
        <item t="default"/>
      </items>
    </pivotField>
    <pivotField showAll="0"/>
    <pivotField showAll="0"/>
    <pivotField showAll="0"/>
    <pivotField showAll="0"/>
    <pivotField showAll="0"/>
    <pivotField showAll="0">
      <items count="11">
        <item x="5"/>
        <item x="0"/>
        <item x="8"/>
        <item x="7"/>
        <item x="6"/>
        <item x="3"/>
        <item x="9"/>
        <item x="4"/>
        <item x="1"/>
        <item x="2"/>
        <item t="default"/>
      </items>
    </pivotField>
    <pivotField showAll="0"/>
    <pivotField showAll="0"/>
    <pivotField showAll="0"/>
    <pivotField showAll="0"/>
    <pivotField showAll="0"/>
    <pivotField dataField="1" showAll="0"/>
    <pivotField axis="axisRow" showAll="0">
      <items count="7">
        <item x="1"/>
        <item x="2"/>
        <item x="3"/>
        <item x="0"/>
        <item x="5"/>
        <item x="4"/>
        <item t="default"/>
      </items>
    </pivotField>
    <pivotField showAll="0"/>
    <pivotField showAll="0"/>
    <pivotField showAll="0"/>
    <pivotField showAll="0">
      <items count="6">
        <item x="3"/>
        <item x="2"/>
        <item x="0"/>
        <item x="4"/>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4"/>
  </rowFields>
  <rowItems count="7">
    <i>
      <x/>
    </i>
    <i>
      <x v="1"/>
    </i>
    <i>
      <x v="2"/>
    </i>
    <i>
      <x v="3"/>
    </i>
    <i>
      <x v="4"/>
    </i>
    <i>
      <x v="5"/>
    </i>
    <i t="grand">
      <x/>
    </i>
  </rowItems>
  <colItems count="1">
    <i/>
  </colItems>
  <dataFields count="1">
    <dataField name="Sum of TotalAmount" fld="13" showDataAs="percentOfTotal" baseField="0" baseItem="0" numFmtId="10"/>
  </dataFields>
  <chartFormats count="8">
    <chartFormat chart="3"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4" count="1" selected="0">
            <x v="0"/>
          </reference>
        </references>
      </pivotArea>
    </chartFormat>
    <chartFormat chart="5" format="10">
      <pivotArea type="data" outline="0" fieldPosition="0">
        <references count="2">
          <reference field="4294967294" count="1" selected="0">
            <x v="0"/>
          </reference>
          <reference field="14" count="1" selected="0">
            <x v="1"/>
          </reference>
        </references>
      </pivotArea>
    </chartFormat>
    <chartFormat chart="5" format="11">
      <pivotArea type="data" outline="0" fieldPosition="0">
        <references count="2">
          <reference field="4294967294" count="1" selected="0">
            <x v="0"/>
          </reference>
          <reference field="14" count="1" selected="0">
            <x v="2"/>
          </reference>
        </references>
      </pivotArea>
    </chartFormat>
    <chartFormat chart="5" format="12">
      <pivotArea type="data" outline="0" fieldPosition="0">
        <references count="2">
          <reference field="4294967294" count="1" selected="0">
            <x v="0"/>
          </reference>
          <reference field="14" count="1" selected="0">
            <x v="3"/>
          </reference>
        </references>
      </pivotArea>
    </chartFormat>
    <chartFormat chart="5" format="13">
      <pivotArea type="data" outline="0" fieldPosition="0">
        <references count="2">
          <reference field="4294967294" count="1" selected="0">
            <x v="0"/>
          </reference>
          <reference field="14" count="1" selected="0">
            <x v="4"/>
          </reference>
        </references>
      </pivotArea>
    </chartFormat>
    <chartFormat chart="5" format="14">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005380-E686-4933-9ABA-482859AAE04E}" name="PivotTable5"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6" firstHeaderRow="1" firstDataRow="1" firstDataCol="1"/>
  <pivotFields count="24">
    <pivotField showAll="0"/>
    <pivotField numFmtId="14" showAll="0">
      <items count="237">
        <item x="65"/>
        <item x="120"/>
        <item x="58"/>
        <item x="34"/>
        <item x="78"/>
        <item x="140"/>
        <item x="121"/>
        <item x="14"/>
        <item x="72"/>
        <item x="181"/>
        <item x="153"/>
        <item x="9"/>
        <item x="19"/>
        <item x="142"/>
        <item x="94"/>
        <item x="60"/>
        <item x="115"/>
        <item x="47"/>
        <item x="143"/>
        <item x="95"/>
        <item x="79"/>
        <item x="169"/>
        <item x="113"/>
        <item x="138"/>
        <item x="66"/>
        <item x="35"/>
        <item x="97"/>
        <item x="30"/>
        <item x="134"/>
        <item x="105"/>
        <item x="64"/>
        <item x="224"/>
        <item x="12"/>
        <item x="109"/>
        <item x="23"/>
        <item x="135"/>
        <item x="116"/>
        <item x="27"/>
        <item x="62"/>
        <item x="131"/>
        <item x="168"/>
        <item x="165"/>
        <item x="91"/>
        <item x="149"/>
        <item x="133"/>
        <item x="235"/>
        <item x="99"/>
        <item x="32"/>
        <item x="10"/>
        <item x="39"/>
        <item x="183"/>
        <item x="117"/>
        <item x="148"/>
        <item x="76"/>
        <item x="41"/>
        <item x="122"/>
        <item x="190"/>
        <item x="188"/>
        <item x="198"/>
        <item x="50"/>
        <item x="179"/>
        <item x="69"/>
        <item x="86"/>
        <item x="196"/>
        <item x="130"/>
        <item x="63"/>
        <item x="159"/>
        <item x="215"/>
        <item x="214"/>
        <item x="160"/>
        <item x="200"/>
        <item x="57"/>
        <item x="125"/>
        <item x="223"/>
        <item x="227"/>
        <item x="197"/>
        <item x="154"/>
        <item x="49"/>
        <item x="44"/>
        <item x="90"/>
        <item x="220"/>
        <item x="107"/>
        <item x="155"/>
        <item x="92"/>
        <item x="177"/>
        <item x="36"/>
        <item x="185"/>
        <item x="114"/>
        <item x="164"/>
        <item x="22"/>
        <item x="77"/>
        <item x="67"/>
        <item x="144"/>
        <item x="112"/>
        <item x="167"/>
        <item x="201"/>
        <item x="152"/>
        <item x="26"/>
        <item x="98"/>
        <item x="53"/>
        <item x="59"/>
        <item x="37"/>
        <item x="2"/>
        <item x="176"/>
        <item x="166"/>
        <item x="17"/>
        <item x="110"/>
        <item x="172"/>
        <item x="70"/>
        <item x="145"/>
        <item x="29"/>
        <item x="48"/>
        <item x="157"/>
        <item x="216"/>
        <item x="45"/>
        <item x="96"/>
        <item x="199"/>
        <item x="103"/>
        <item x="139"/>
        <item x="180"/>
        <item x="84"/>
        <item x="83"/>
        <item x="162"/>
        <item x="170"/>
        <item x="7"/>
        <item x="141"/>
        <item x="146"/>
        <item x="189"/>
        <item x="118"/>
        <item x="147"/>
        <item x="111"/>
        <item x="40"/>
        <item x="127"/>
        <item x="5"/>
        <item x="80"/>
        <item x="194"/>
        <item x="16"/>
        <item x="0"/>
        <item x="87"/>
        <item x="4"/>
        <item x="233"/>
        <item x="124"/>
        <item x="55"/>
        <item x="128"/>
        <item x="119"/>
        <item x="191"/>
        <item x="31"/>
        <item x="187"/>
        <item x="28"/>
        <item x="11"/>
        <item x="163"/>
        <item x="210"/>
        <item x="209"/>
        <item x="231"/>
        <item x="226"/>
        <item x="178"/>
        <item x="193"/>
        <item x="52"/>
        <item x="102"/>
        <item x="218"/>
        <item x="3"/>
        <item x="61"/>
        <item x="213"/>
        <item x="21"/>
        <item x="33"/>
        <item x="204"/>
        <item x="71"/>
        <item x="123"/>
        <item x="68"/>
        <item x="207"/>
        <item x="219"/>
        <item x="73"/>
        <item x="15"/>
        <item x="228"/>
        <item x="212"/>
        <item x="211"/>
        <item x="82"/>
        <item x="85"/>
        <item x="184"/>
        <item x="222"/>
        <item x="25"/>
        <item x="75"/>
        <item x="1"/>
        <item x="74"/>
        <item x="221"/>
        <item x="13"/>
        <item x="173"/>
        <item x="100"/>
        <item x="126"/>
        <item x="208"/>
        <item x="43"/>
        <item x="89"/>
        <item x="56"/>
        <item x="137"/>
        <item x="24"/>
        <item x="234"/>
        <item x="129"/>
        <item x="54"/>
        <item x="206"/>
        <item x="156"/>
        <item x="171"/>
        <item x="93"/>
        <item x="38"/>
        <item x="81"/>
        <item x="51"/>
        <item x="150"/>
        <item x="175"/>
        <item x="230"/>
        <item x="8"/>
        <item x="202"/>
        <item x="205"/>
        <item x="186"/>
        <item x="20"/>
        <item x="18"/>
        <item x="229"/>
        <item x="132"/>
        <item x="225"/>
        <item x="42"/>
        <item x="174"/>
        <item x="232"/>
        <item x="192"/>
        <item x="6"/>
        <item x="104"/>
        <item x="106"/>
        <item x="101"/>
        <item x="151"/>
        <item x="182"/>
        <item x="158"/>
        <item x="217"/>
        <item x="108"/>
        <item x="161"/>
        <item x="88"/>
        <item x="136"/>
        <item x="46"/>
        <item x="195"/>
        <item x="203"/>
        <item t="default"/>
      </items>
    </pivotField>
    <pivotField showAll="0"/>
    <pivotField showAll="0"/>
    <pivotField showAll="0"/>
    <pivotField showAll="0"/>
    <pivotField showAll="0">
      <items count="7">
        <item x="0"/>
        <item x="2"/>
        <item x="5"/>
        <item x="1"/>
        <item x="4"/>
        <item x="3"/>
        <item t="default"/>
      </items>
    </pivotField>
    <pivotField showAll="0">
      <items count="11">
        <item x="5"/>
        <item x="0"/>
        <item x="8"/>
        <item x="7"/>
        <item x="6"/>
        <item x="3"/>
        <item x="9"/>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items count="6">
        <item x="3"/>
        <item x="2"/>
        <item x="0"/>
        <item x="4"/>
        <item x="1"/>
        <item t="default"/>
      </items>
    </pivotField>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0"/>
  </rowFields>
  <rowItems count="13">
    <i>
      <x v="1"/>
    </i>
    <i>
      <x v="2"/>
    </i>
    <i>
      <x v="3"/>
    </i>
    <i>
      <x v="4"/>
    </i>
    <i>
      <x v="5"/>
    </i>
    <i>
      <x v="6"/>
    </i>
    <i>
      <x v="7"/>
    </i>
    <i>
      <x v="8"/>
    </i>
    <i>
      <x v="9"/>
    </i>
    <i>
      <x v="10"/>
    </i>
    <i>
      <x v="11"/>
    </i>
    <i>
      <x v="12"/>
    </i>
    <i t="grand">
      <x/>
    </i>
  </rowItems>
  <colItems count="1">
    <i/>
  </colItems>
  <dataFields count="1">
    <dataField name="Sum of TotalAmount"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24E6CB-7BA9-4405-BEC4-C3B0BD86E438}" name="PivotTable6"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C14" firstHeaderRow="0" firstDataRow="1" firstDataCol="1"/>
  <pivotFields count="24">
    <pivotField showAll="0"/>
    <pivotField numFmtId="14" showAll="0">
      <items count="237">
        <item x="65"/>
        <item x="120"/>
        <item x="58"/>
        <item x="34"/>
        <item x="78"/>
        <item x="140"/>
        <item x="121"/>
        <item x="14"/>
        <item x="72"/>
        <item x="181"/>
        <item x="153"/>
        <item x="9"/>
        <item x="19"/>
        <item x="142"/>
        <item x="94"/>
        <item x="60"/>
        <item x="115"/>
        <item x="47"/>
        <item x="143"/>
        <item x="95"/>
        <item x="79"/>
        <item x="169"/>
        <item x="113"/>
        <item x="138"/>
        <item x="66"/>
        <item x="35"/>
        <item x="97"/>
        <item x="30"/>
        <item x="134"/>
        <item x="105"/>
        <item x="64"/>
        <item x="224"/>
        <item x="12"/>
        <item x="109"/>
        <item x="23"/>
        <item x="135"/>
        <item x="116"/>
        <item x="27"/>
        <item x="62"/>
        <item x="131"/>
        <item x="168"/>
        <item x="165"/>
        <item x="91"/>
        <item x="149"/>
        <item x="133"/>
        <item x="235"/>
        <item x="99"/>
        <item x="32"/>
        <item x="10"/>
        <item x="39"/>
        <item x="183"/>
        <item x="117"/>
        <item x="148"/>
        <item x="76"/>
        <item x="41"/>
        <item x="122"/>
        <item x="190"/>
        <item x="188"/>
        <item x="198"/>
        <item x="50"/>
        <item x="179"/>
        <item x="69"/>
        <item x="86"/>
        <item x="196"/>
        <item x="130"/>
        <item x="63"/>
        <item x="159"/>
        <item x="215"/>
        <item x="214"/>
        <item x="160"/>
        <item x="200"/>
        <item x="57"/>
        <item x="125"/>
        <item x="223"/>
        <item x="227"/>
        <item x="197"/>
        <item x="154"/>
        <item x="49"/>
        <item x="44"/>
        <item x="90"/>
        <item x="220"/>
        <item x="107"/>
        <item x="155"/>
        <item x="92"/>
        <item x="177"/>
        <item x="36"/>
        <item x="185"/>
        <item x="114"/>
        <item x="164"/>
        <item x="22"/>
        <item x="77"/>
        <item x="67"/>
        <item x="144"/>
        <item x="112"/>
        <item x="167"/>
        <item x="201"/>
        <item x="152"/>
        <item x="26"/>
        <item x="98"/>
        <item x="53"/>
        <item x="59"/>
        <item x="37"/>
        <item x="2"/>
        <item x="176"/>
        <item x="166"/>
        <item x="17"/>
        <item x="110"/>
        <item x="172"/>
        <item x="70"/>
        <item x="145"/>
        <item x="29"/>
        <item x="48"/>
        <item x="157"/>
        <item x="216"/>
        <item x="45"/>
        <item x="96"/>
        <item x="199"/>
        <item x="103"/>
        <item x="139"/>
        <item x="180"/>
        <item x="84"/>
        <item x="83"/>
        <item x="162"/>
        <item x="170"/>
        <item x="7"/>
        <item x="141"/>
        <item x="146"/>
        <item x="189"/>
        <item x="118"/>
        <item x="147"/>
        <item x="111"/>
        <item x="40"/>
        <item x="127"/>
        <item x="5"/>
        <item x="80"/>
        <item x="194"/>
        <item x="16"/>
        <item x="0"/>
        <item x="87"/>
        <item x="4"/>
        <item x="233"/>
        <item x="124"/>
        <item x="55"/>
        <item x="128"/>
        <item x="119"/>
        <item x="191"/>
        <item x="31"/>
        <item x="187"/>
        <item x="28"/>
        <item x="11"/>
        <item x="163"/>
        <item x="210"/>
        <item x="209"/>
        <item x="231"/>
        <item x="226"/>
        <item x="178"/>
        <item x="193"/>
        <item x="52"/>
        <item x="102"/>
        <item x="218"/>
        <item x="3"/>
        <item x="61"/>
        <item x="213"/>
        <item x="21"/>
        <item x="33"/>
        <item x="204"/>
        <item x="71"/>
        <item x="123"/>
        <item x="68"/>
        <item x="207"/>
        <item x="219"/>
        <item x="73"/>
        <item x="15"/>
        <item x="228"/>
        <item x="212"/>
        <item x="211"/>
        <item x="82"/>
        <item x="85"/>
        <item x="184"/>
        <item x="222"/>
        <item x="25"/>
        <item x="75"/>
        <item x="1"/>
        <item x="74"/>
        <item x="221"/>
        <item x="13"/>
        <item x="173"/>
        <item x="100"/>
        <item x="126"/>
        <item x="208"/>
        <item x="43"/>
        <item x="89"/>
        <item x="56"/>
        <item x="137"/>
        <item x="24"/>
        <item x="234"/>
        <item x="129"/>
        <item x="54"/>
        <item x="206"/>
        <item x="156"/>
        <item x="171"/>
        <item x="93"/>
        <item x="38"/>
        <item x="81"/>
        <item x="51"/>
        <item x="150"/>
        <item x="175"/>
        <item x="230"/>
        <item x="8"/>
        <item x="202"/>
        <item x="205"/>
        <item x="186"/>
        <item x="20"/>
        <item x="18"/>
        <item x="229"/>
        <item x="132"/>
        <item x="225"/>
        <item x="42"/>
        <item x="174"/>
        <item x="232"/>
        <item x="192"/>
        <item x="6"/>
        <item x="104"/>
        <item x="106"/>
        <item x="101"/>
        <item x="151"/>
        <item x="182"/>
        <item x="158"/>
        <item x="217"/>
        <item x="108"/>
        <item x="161"/>
        <item x="88"/>
        <item x="136"/>
        <item x="46"/>
        <item x="195"/>
        <item x="203"/>
        <item t="default"/>
      </items>
    </pivotField>
    <pivotField showAll="0"/>
    <pivotField showAll="0"/>
    <pivotField showAll="0"/>
    <pivotField showAll="0"/>
    <pivotField showAll="0">
      <items count="7">
        <item x="0"/>
        <item x="2"/>
        <item x="5"/>
        <item x="1"/>
        <item x="4"/>
        <item x="3"/>
        <item t="default"/>
      </items>
    </pivotField>
    <pivotField axis="axisRow" showAll="0">
      <items count="11">
        <item x="5"/>
        <item x="0"/>
        <item x="8"/>
        <item x="7"/>
        <item x="6"/>
        <item x="3"/>
        <item x="9"/>
        <item x="4"/>
        <item x="1"/>
        <item x="2"/>
        <item t="default"/>
      </items>
    </pivotField>
    <pivotField showAll="0"/>
    <pivotField showAll="0"/>
    <pivotField dataField="1" showAll="0"/>
    <pivotField showAll="0"/>
    <pivotField showAll="0"/>
    <pivotField dataField="1" showAll="0"/>
    <pivotField showAll="0">
      <items count="7">
        <item h="1" x="1"/>
        <item h="1" x="2"/>
        <item x="3"/>
        <item h="1" x="0"/>
        <item h="1" x="5"/>
        <item h="1" x="4"/>
        <item t="default"/>
      </items>
    </pivotField>
    <pivotField showAll="0"/>
    <pivotField showAll="0"/>
    <pivotField showAll="0">
      <items count="14">
        <item x="11"/>
        <item x="3"/>
        <item x="5"/>
        <item x="0"/>
        <item x="6"/>
        <item x="4"/>
        <item x="9"/>
        <item x="2"/>
        <item x="7"/>
        <item x="12"/>
        <item x="10"/>
        <item x="1"/>
        <item x="8"/>
        <item t="default"/>
      </items>
    </pivotField>
    <pivotField showAll="0">
      <items count="6">
        <item x="3"/>
        <item x="2"/>
        <item x="0"/>
        <item x="4"/>
        <item x="1"/>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TotalAmount" fld="13" showDataAs="percentOfTotal" baseField="0" baseItem="0" numFmtId="10"/>
    <dataField name="Sum of Discount" fld="10" showDataAs="percentOfTotal" baseField="0" baseItem="0" numFmtId="10"/>
  </dataFields>
  <chartFormats count="4">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FE33D6-AE39-47C0-B10F-449237EA2FF5}" name="PivotTable7"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24">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4" showAll="0">
      <items count="237">
        <item x="65"/>
        <item x="120"/>
        <item x="58"/>
        <item x="34"/>
        <item x="78"/>
        <item x="140"/>
        <item x="121"/>
        <item x="14"/>
        <item x="72"/>
        <item x="181"/>
        <item x="153"/>
        <item x="9"/>
        <item x="19"/>
        <item x="142"/>
        <item x="94"/>
        <item x="60"/>
        <item x="115"/>
        <item x="47"/>
        <item x="143"/>
        <item x="95"/>
        <item x="79"/>
        <item x="169"/>
        <item x="113"/>
        <item x="138"/>
        <item x="66"/>
        <item x="35"/>
        <item x="97"/>
        <item x="30"/>
        <item x="134"/>
        <item x="105"/>
        <item x="64"/>
        <item x="224"/>
        <item x="12"/>
        <item x="109"/>
        <item x="23"/>
        <item x="135"/>
        <item x="116"/>
        <item x="27"/>
        <item x="62"/>
        <item x="131"/>
        <item x="168"/>
        <item x="165"/>
        <item x="91"/>
        <item x="149"/>
        <item x="133"/>
        <item x="235"/>
        <item x="99"/>
        <item x="32"/>
        <item x="10"/>
        <item x="39"/>
        <item x="183"/>
        <item x="117"/>
        <item x="148"/>
        <item x="76"/>
        <item x="41"/>
        <item x="122"/>
        <item x="190"/>
        <item x="188"/>
        <item x="198"/>
        <item x="50"/>
        <item x="179"/>
        <item x="69"/>
        <item x="86"/>
        <item x="196"/>
        <item x="130"/>
        <item x="63"/>
        <item x="159"/>
        <item x="215"/>
        <item x="214"/>
        <item x="160"/>
        <item x="200"/>
        <item x="57"/>
        <item x="125"/>
        <item x="223"/>
        <item x="227"/>
        <item x="197"/>
        <item x="154"/>
        <item x="49"/>
        <item x="44"/>
        <item x="90"/>
        <item x="220"/>
        <item x="107"/>
        <item x="155"/>
        <item x="92"/>
        <item x="177"/>
        <item x="36"/>
        <item x="185"/>
        <item x="114"/>
        <item x="164"/>
        <item x="22"/>
        <item x="77"/>
        <item x="67"/>
        <item x="144"/>
        <item x="112"/>
        <item x="167"/>
        <item x="201"/>
        <item x="152"/>
        <item x="26"/>
        <item x="98"/>
        <item x="53"/>
        <item x="59"/>
        <item x="37"/>
        <item x="2"/>
        <item x="176"/>
        <item x="166"/>
        <item x="17"/>
        <item x="110"/>
        <item x="172"/>
        <item x="70"/>
        <item x="145"/>
        <item x="29"/>
        <item x="48"/>
        <item x="157"/>
        <item x="216"/>
        <item x="45"/>
        <item x="96"/>
        <item x="199"/>
        <item x="103"/>
        <item x="139"/>
        <item x="180"/>
        <item x="84"/>
        <item x="83"/>
        <item x="162"/>
        <item x="170"/>
        <item x="7"/>
        <item x="141"/>
        <item x="146"/>
        <item x="189"/>
        <item x="118"/>
        <item x="147"/>
        <item x="111"/>
        <item x="40"/>
        <item x="127"/>
        <item x="5"/>
        <item x="80"/>
        <item x="194"/>
        <item x="16"/>
        <item x="0"/>
        <item x="87"/>
        <item x="4"/>
        <item x="233"/>
        <item x="124"/>
        <item x="55"/>
        <item x="128"/>
        <item x="119"/>
        <item x="191"/>
        <item x="31"/>
        <item x="187"/>
        <item x="28"/>
        <item x="11"/>
        <item x="163"/>
        <item x="210"/>
        <item x="209"/>
        <item x="231"/>
        <item x="226"/>
        <item x="178"/>
        <item x="193"/>
        <item x="52"/>
        <item x="102"/>
        <item x="218"/>
        <item x="3"/>
        <item x="61"/>
        <item x="213"/>
        <item x="21"/>
        <item x="33"/>
        <item x="204"/>
        <item x="71"/>
        <item x="123"/>
        <item x="68"/>
        <item x="207"/>
        <item x="219"/>
        <item x="73"/>
        <item x="15"/>
        <item x="228"/>
        <item x="212"/>
        <item x="211"/>
        <item x="82"/>
        <item x="85"/>
        <item x="184"/>
        <item x="222"/>
        <item x="25"/>
        <item x="75"/>
        <item x="1"/>
        <item x="74"/>
        <item x="221"/>
        <item x="13"/>
        <item x="173"/>
        <item x="100"/>
        <item x="126"/>
        <item x="208"/>
        <item x="43"/>
        <item x="89"/>
        <item x="56"/>
        <item x="137"/>
        <item x="24"/>
        <item x="234"/>
        <item x="129"/>
        <item x="54"/>
        <item x="206"/>
        <item x="156"/>
        <item x="171"/>
        <item x="93"/>
        <item x="38"/>
        <item x="81"/>
        <item x="51"/>
        <item x="150"/>
        <item x="175"/>
        <item x="230"/>
        <item x="8"/>
        <item x="202"/>
        <item x="205"/>
        <item x="186"/>
        <item x="20"/>
        <item x="18"/>
        <item x="229"/>
        <item x="132"/>
        <item x="225"/>
        <item x="42"/>
        <item x="174"/>
        <item x="232"/>
        <item x="192"/>
        <item x="6"/>
        <item x="104"/>
        <item x="106"/>
        <item x="101"/>
        <item x="151"/>
        <item x="182"/>
        <item x="158"/>
        <item x="217"/>
        <item x="108"/>
        <item x="161"/>
        <item x="88"/>
        <item x="136"/>
        <item x="46"/>
        <item x="195"/>
        <item x="203"/>
        <item t="default"/>
      </items>
    </pivotField>
    <pivotField showAll="0"/>
    <pivotField showAll="0"/>
    <pivotField showAll="0"/>
    <pivotField showAll="0"/>
    <pivotField showAll="0">
      <items count="7">
        <item x="0"/>
        <item x="2"/>
        <item x="5"/>
        <item x="1"/>
        <item x="4"/>
        <item x="3"/>
        <item t="default"/>
      </items>
    </pivotField>
    <pivotField showAll="0">
      <items count="11">
        <item x="5"/>
        <item x="0"/>
        <item x="8"/>
        <item x="7"/>
        <item x="6"/>
        <item x="3"/>
        <item x="9"/>
        <item x="4"/>
        <item x="1"/>
        <item x="2"/>
        <item t="default"/>
      </items>
    </pivotField>
    <pivotField dataField="1" showAll="0"/>
    <pivotField showAll="0"/>
    <pivotField showAll="0"/>
    <pivotField showAll="0"/>
    <pivotField showAll="0"/>
    <pivotField dataField="1" showAll="0"/>
    <pivotField showAll="0"/>
    <pivotField showAll="0"/>
    <pivotField showAll="0"/>
    <pivotField showAll="0"/>
    <pivotField showAll="0">
      <items count="6">
        <item x="3"/>
        <item x="2"/>
        <item x="0"/>
        <item x="4"/>
        <item x="1"/>
        <item t="default"/>
      </items>
    </pivotField>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Items count="1">
    <i/>
  </rowItems>
  <colFields count="1">
    <field x="-2"/>
  </colFields>
  <colItems count="3">
    <i>
      <x/>
    </i>
    <i i="1">
      <x v="1"/>
    </i>
    <i i="2">
      <x v="2"/>
    </i>
  </colItems>
  <dataFields count="3">
    <dataField name="Sum of TotalAmount" fld="13" baseField="0" baseItem="0"/>
    <dataField name="Count of OrderID" fld="0" subtotal="count" baseField="0" baseItem="0"/>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A121D1-E69F-41CC-B8F6-0ACEBA6E6888}" sourceName="Category">
  <pivotTables>
    <pivotTable tabId="9" name="PivotTable7"/>
    <pivotTable tabId="2" name="PivotTable1"/>
    <pivotTable tabId="3" name="PivotTable2"/>
    <pivotTable tabId="6" name="PivotTable5"/>
    <pivotTable tabId="7" name="PivotTable6"/>
  </pivotTables>
  <data>
    <tabular pivotCacheId="531338632">
      <items count="6">
        <i x="0" s="1"/>
        <i x="2" s="1"/>
        <i x="5"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8D65F73-51EF-4306-8AF1-5FED5C665CF4}" sourceName="Brand">
  <pivotTables>
    <pivotTable tabId="9" name="PivotTable7"/>
    <pivotTable tabId="2" name="PivotTable1"/>
    <pivotTable tabId="3" name="PivotTable2"/>
    <pivotTable tabId="4" name="PivotTable3"/>
    <pivotTable tabId="6" name="PivotTable5"/>
    <pivotTable tabId="7" name="PivotTable6"/>
  </pivotTables>
  <data>
    <tabular pivotCacheId="531338632">
      <items count="10">
        <i x="5" s="1"/>
        <i x="0" s="1"/>
        <i x="8" s="1"/>
        <i x="7" s="1"/>
        <i x="6" s="1"/>
        <i x="3" s="1"/>
        <i x="9"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B466324-2E35-47B2-87EC-127E6E5DEF59}" sourceName="Country">
  <pivotTables>
    <pivotTable tabId="9" name="PivotTable7"/>
    <pivotTable tabId="2" name="PivotTable1"/>
    <pivotTable tabId="3" name="PivotTable2"/>
    <pivotTable tabId="4" name="PivotTable3"/>
    <pivotTable tabId="6" name="PivotTable5"/>
    <pivotTable tabId="7" name="PivotTable6"/>
  </pivotTables>
  <data>
    <tabular pivotCacheId="531338632">
      <items count="5">
        <i x="3" s="1"/>
        <i x="2"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FD04911-4E0B-4C72-A398-11C06D439AD0}" cache="Slicer_Category" caption="Category" rowHeight="247650"/>
  <slicer name="Brand" xr10:uid="{A08D67CC-94D3-4666-97F5-FB9BE867D68D}" cache="Slicer_Brand" caption="Brand" rowHeight="247650"/>
  <slicer name="Country" xr10:uid="{87F0B8CA-E9C8-4F23-94D4-152C68396347}" cache="Slicer_Country" caption="Count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0165FB8-D88E-41EA-9929-1EE88CF0F622}" cache="Slicer_Category" caption="Category" rowHeight="247650"/>
  <slicer name="Brand 1" xr10:uid="{1FDA75B3-080A-4A8A-92E7-8E2AACC4FE79}" cache="Slicer_Brand" caption="Brand" startItem="3" rowHeight="247650"/>
  <slicer name="Country 1" xr10:uid="{1E50F916-2B37-4875-8FF0-977A187A7F05}" cache="Slicer_Country" caption="Count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97557179-299B-4B38-8439-21710C4C8C96}" sourceName="OrderDate">
  <pivotTables>
    <pivotTable tabId="9" name="PivotTable7"/>
    <pivotTable tabId="2" name="PivotTable1"/>
    <pivotTable tabId="3" name="PivotTable2"/>
    <pivotTable tabId="4" name="PivotTable3"/>
    <pivotTable tabId="6" name="PivotTable5"/>
    <pivotTable tabId="7" name="PivotTable6"/>
  </pivotTables>
  <state minimalRefreshVersion="6" lastRefreshVersion="6" pivotCacheId="531338632" filterType="unknown">
    <bounds startDate="2020-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A964186E-32E2-4828-B363-3B581925D883}" cache="NativeTimeline_OrderDate" caption="OrderDate" level="2" selectionLevel="2" scrollPosition="2024-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47386FFD-282E-43CB-9CFF-1DFA2D0DD91F}" cache="NativeTimeline_OrderDate" caption="OrderDate" level="2" selectionLevel="2" scrollPosition="2024-05-19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11/relationships/timeline" Target="../timelines/timelin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533D6-617E-4B76-B51E-44689E355544}">
  <dimension ref="A3:B10"/>
  <sheetViews>
    <sheetView workbookViewId="0">
      <selection activeCell="A3" sqref="A3:B10"/>
    </sheetView>
  </sheetViews>
  <sheetFormatPr defaultRowHeight="14.4" x14ac:dyDescent="0.3"/>
  <cols>
    <col min="1" max="1" width="15.5546875" bestFit="1" customWidth="1"/>
    <col min="2" max="2" width="17.77734375" bestFit="1" customWidth="1"/>
  </cols>
  <sheetData>
    <row r="3" spans="1:2" x14ac:dyDescent="0.3">
      <c r="A3" s="3" t="s">
        <v>1061</v>
      </c>
      <c r="B3" t="s">
        <v>1060</v>
      </c>
    </row>
    <row r="4" spans="1:2" x14ac:dyDescent="0.3">
      <c r="A4" s="4" t="s">
        <v>25</v>
      </c>
      <c r="B4" s="2">
        <v>41737.450000000012</v>
      </c>
    </row>
    <row r="5" spans="1:2" x14ac:dyDescent="0.3">
      <c r="A5" s="4" t="s">
        <v>50</v>
      </c>
      <c r="B5" s="2">
        <v>28028.62</v>
      </c>
    </row>
    <row r="6" spans="1:2" x14ac:dyDescent="0.3">
      <c r="A6" s="4" t="s">
        <v>180</v>
      </c>
      <c r="B6" s="2">
        <v>52042.62999999999</v>
      </c>
    </row>
    <row r="7" spans="1:2" x14ac:dyDescent="0.3">
      <c r="A7" s="4" t="s">
        <v>38</v>
      </c>
      <c r="B7" s="2">
        <v>40516.250000000007</v>
      </c>
    </row>
    <row r="8" spans="1:2" x14ac:dyDescent="0.3">
      <c r="A8" s="4" t="s">
        <v>108</v>
      </c>
      <c r="B8" s="2">
        <v>36091.75</v>
      </c>
    </row>
    <row r="9" spans="1:2" x14ac:dyDescent="0.3">
      <c r="A9" s="4" t="s">
        <v>98</v>
      </c>
      <c r="B9" s="2">
        <v>43769.609999999993</v>
      </c>
    </row>
    <row r="10" spans="1:2" x14ac:dyDescent="0.3">
      <c r="A10" s="4" t="s">
        <v>1062</v>
      </c>
      <c r="B10" s="2">
        <v>242186.31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575C7-D2B1-40B8-9260-FB660F330F2F}">
  <dimension ref="A3:B9"/>
  <sheetViews>
    <sheetView workbookViewId="0">
      <selection activeCell="B8" sqref="B8"/>
    </sheetView>
  </sheetViews>
  <sheetFormatPr defaultRowHeight="14.4" x14ac:dyDescent="0.3"/>
  <cols>
    <col min="1" max="1" width="12.44140625" bestFit="1" customWidth="1"/>
    <col min="2" max="2" width="17.77734375" bestFit="1" customWidth="1"/>
  </cols>
  <sheetData>
    <row r="3" spans="1:2" x14ac:dyDescent="0.3">
      <c r="A3" s="3" t="s">
        <v>1061</v>
      </c>
      <c r="B3" t="s">
        <v>1060</v>
      </c>
    </row>
    <row r="4" spans="1:2" x14ac:dyDescent="0.3">
      <c r="A4" s="4" t="s">
        <v>183</v>
      </c>
      <c r="B4" s="2">
        <v>17008.440000000002</v>
      </c>
    </row>
    <row r="5" spans="1:2" x14ac:dyDescent="0.3">
      <c r="A5" s="4" t="s">
        <v>82</v>
      </c>
      <c r="B5" s="2">
        <v>42500.579999999987</v>
      </c>
    </row>
    <row r="6" spans="1:2" x14ac:dyDescent="0.3">
      <c r="A6" s="4" t="s">
        <v>101</v>
      </c>
      <c r="B6" s="2">
        <v>16195.109999999999</v>
      </c>
    </row>
    <row r="7" spans="1:2" x14ac:dyDescent="0.3">
      <c r="A7" s="4" t="s">
        <v>30</v>
      </c>
      <c r="B7" s="2">
        <v>9832.93</v>
      </c>
    </row>
    <row r="8" spans="1:2" x14ac:dyDescent="0.3">
      <c r="A8" s="4" t="s">
        <v>125</v>
      </c>
      <c r="B8" s="2">
        <v>9926.44</v>
      </c>
    </row>
    <row r="9" spans="1:2" x14ac:dyDescent="0.3">
      <c r="A9" s="4" t="s">
        <v>1062</v>
      </c>
      <c r="B9" s="2">
        <v>95463.5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61EF-4C94-4CE7-810E-FD1BCECA60A6}">
  <dimension ref="A3:B10"/>
  <sheetViews>
    <sheetView workbookViewId="0">
      <selection activeCell="A3" sqref="A3:B10"/>
    </sheetView>
  </sheetViews>
  <sheetFormatPr defaultRowHeight="14.4" x14ac:dyDescent="0.3"/>
  <cols>
    <col min="1" max="1" width="14.21875" bestFit="1" customWidth="1"/>
    <col min="2" max="2" width="17.77734375" bestFit="1" customWidth="1"/>
  </cols>
  <sheetData>
    <row r="3" spans="1:2" x14ac:dyDescent="0.3">
      <c r="A3" s="3" t="s">
        <v>1061</v>
      </c>
      <c r="B3" t="s">
        <v>1060</v>
      </c>
    </row>
    <row r="4" spans="1:2" x14ac:dyDescent="0.3">
      <c r="A4" s="4" t="s">
        <v>40</v>
      </c>
      <c r="B4" s="5">
        <v>0.19600422501172754</v>
      </c>
    </row>
    <row r="5" spans="1:2" x14ac:dyDescent="0.3">
      <c r="A5" s="4" t="s">
        <v>59</v>
      </c>
      <c r="B5" s="5">
        <v>3.9587910646146765E-2</v>
      </c>
    </row>
    <row r="6" spans="1:2" x14ac:dyDescent="0.3">
      <c r="A6" s="4" t="s">
        <v>69</v>
      </c>
      <c r="B6" s="5">
        <v>0.31766779055347921</v>
      </c>
    </row>
    <row r="7" spans="1:2" x14ac:dyDescent="0.3">
      <c r="A7" s="4" t="s">
        <v>27</v>
      </c>
      <c r="B7" s="5">
        <v>0.17850199707819986</v>
      </c>
    </row>
    <row r="8" spans="1:2" x14ac:dyDescent="0.3">
      <c r="A8" s="4" t="s">
        <v>153</v>
      </c>
      <c r="B8" s="5">
        <v>9.0811862982676433E-2</v>
      </c>
    </row>
    <row r="9" spans="1:2" x14ac:dyDescent="0.3">
      <c r="A9" s="4" t="s">
        <v>80</v>
      </c>
      <c r="B9" s="5">
        <v>0.17742621372777015</v>
      </c>
    </row>
    <row r="10" spans="1:2" x14ac:dyDescent="0.3">
      <c r="A10" s="4" t="s">
        <v>1062</v>
      </c>
      <c r="B10" s="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D63C1-EA16-4256-9425-3B389B4E3EEC}">
  <dimension ref="A3:B16"/>
  <sheetViews>
    <sheetView workbookViewId="0">
      <selection activeCell="A3" sqref="A3:B16"/>
    </sheetView>
  </sheetViews>
  <sheetFormatPr defaultRowHeight="14.4" x14ac:dyDescent="0.3"/>
  <cols>
    <col min="1" max="1" width="12.44140625" bestFit="1" customWidth="1"/>
    <col min="2" max="2" width="17.77734375" bestFit="1" customWidth="1"/>
  </cols>
  <sheetData>
    <row r="3" spans="1:2" x14ac:dyDescent="0.3">
      <c r="A3" s="3" t="s">
        <v>1061</v>
      </c>
      <c r="B3" t="s">
        <v>1060</v>
      </c>
    </row>
    <row r="4" spans="1:2" x14ac:dyDescent="0.3">
      <c r="A4" s="4" t="s">
        <v>1063</v>
      </c>
      <c r="B4" s="2">
        <v>24622.639999999999</v>
      </c>
    </row>
    <row r="5" spans="1:2" x14ac:dyDescent="0.3">
      <c r="A5" s="4" t="s">
        <v>1064</v>
      </c>
      <c r="B5" s="2">
        <v>25462.61</v>
      </c>
    </row>
    <row r="6" spans="1:2" x14ac:dyDescent="0.3">
      <c r="A6" s="4" t="s">
        <v>1065</v>
      </c>
      <c r="B6" s="2">
        <v>18444.600000000002</v>
      </c>
    </row>
    <row r="7" spans="1:2" x14ac:dyDescent="0.3">
      <c r="A7" s="4" t="s">
        <v>1066</v>
      </c>
      <c r="B7" s="2">
        <v>13552.25</v>
      </c>
    </row>
    <row r="8" spans="1:2" x14ac:dyDescent="0.3">
      <c r="A8" s="4" t="s">
        <v>1067</v>
      </c>
      <c r="B8" s="2">
        <v>28230.21</v>
      </c>
    </row>
    <row r="9" spans="1:2" x14ac:dyDescent="0.3">
      <c r="A9" s="4" t="s">
        <v>1068</v>
      </c>
      <c r="B9" s="2">
        <v>12670.22</v>
      </c>
    </row>
    <row r="10" spans="1:2" x14ac:dyDescent="0.3">
      <c r="A10" s="4" t="s">
        <v>1069</v>
      </c>
      <c r="B10" s="2">
        <v>17678.839999999997</v>
      </c>
    </row>
    <row r="11" spans="1:2" x14ac:dyDescent="0.3">
      <c r="A11" s="4" t="s">
        <v>1070</v>
      </c>
      <c r="B11" s="2">
        <v>23903.589999999997</v>
      </c>
    </row>
    <row r="12" spans="1:2" x14ac:dyDescent="0.3">
      <c r="A12" s="4" t="s">
        <v>1071</v>
      </c>
      <c r="B12" s="2">
        <v>16566.72</v>
      </c>
    </row>
    <row r="13" spans="1:2" x14ac:dyDescent="0.3">
      <c r="A13" s="4" t="s">
        <v>1072</v>
      </c>
      <c r="B13" s="2">
        <v>17124.479999999996</v>
      </c>
    </row>
    <row r="14" spans="1:2" x14ac:dyDescent="0.3">
      <c r="A14" s="4" t="s">
        <v>1073</v>
      </c>
      <c r="B14" s="2">
        <v>28857.329999999998</v>
      </c>
    </row>
    <row r="15" spans="1:2" x14ac:dyDescent="0.3">
      <c r="A15" s="4" t="s">
        <v>1074</v>
      </c>
      <c r="B15" s="2">
        <v>15072.82</v>
      </c>
    </row>
    <row r="16" spans="1:2" x14ac:dyDescent="0.3">
      <c r="A16" s="4" t="s">
        <v>1062</v>
      </c>
      <c r="B16" s="2">
        <v>242186.30999999997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92358-279E-4A18-A6D2-75E9CE40B96A}">
  <dimension ref="A3:C14"/>
  <sheetViews>
    <sheetView workbookViewId="0">
      <selection activeCell="O18" sqref="O18"/>
    </sheetView>
  </sheetViews>
  <sheetFormatPr defaultRowHeight="14.4" x14ac:dyDescent="0.3"/>
  <cols>
    <col min="1" max="1" width="12.44140625" bestFit="1" customWidth="1"/>
    <col min="2" max="2" width="17.77734375" bestFit="1" customWidth="1"/>
    <col min="3" max="3" width="14.44140625" bestFit="1" customWidth="1"/>
  </cols>
  <sheetData>
    <row r="3" spans="1:3" x14ac:dyDescent="0.3">
      <c r="A3" s="3" t="s">
        <v>1061</v>
      </c>
      <c r="B3" t="s">
        <v>1060</v>
      </c>
      <c r="C3" t="s">
        <v>1075</v>
      </c>
    </row>
    <row r="4" spans="1:3" x14ac:dyDescent="0.3">
      <c r="A4" s="4" t="s">
        <v>109</v>
      </c>
      <c r="B4" s="5">
        <v>0.10556410062980026</v>
      </c>
      <c r="C4" s="5">
        <v>8.9999999999999983E-2</v>
      </c>
    </row>
    <row r="5" spans="1:3" x14ac:dyDescent="0.3">
      <c r="A5" s="4" t="s">
        <v>26</v>
      </c>
      <c r="B5" s="5">
        <v>6.6488398952029959E-2</v>
      </c>
      <c r="C5" s="5">
        <v>0.10249999999999997</v>
      </c>
    </row>
    <row r="6" spans="1:3" x14ac:dyDescent="0.3">
      <c r="A6" s="4" t="s">
        <v>263</v>
      </c>
      <c r="B6" s="5">
        <v>0.11654804105153589</v>
      </c>
      <c r="C6" s="5">
        <v>6.9999999999999979E-2</v>
      </c>
    </row>
    <row r="7" spans="1:3" x14ac:dyDescent="0.3">
      <c r="A7" s="4" t="s">
        <v>256</v>
      </c>
      <c r="B7" s="5">
        <v>7.7085736183849521E-2</v>
      </c>
      <c r="C7" s="5">
        <v>0.11249999999999998</v>
      </c>
    </row>
    <row r="8" spans="1:3" x14ac:dyDescent="0.3">
      <c r="A8" s="4" t="s">
        <v>123</v>
      </c>
      <c r="B8" s="5">
        <v>0.14080015505418123</v>
      </c>
      <c r="C8" s="5">
        <v>0.10999999999999997</v>
      </c>
    </row>
    <row r="9" spans="1:3" x14ac:dyDescent="0.3">
      <c r="A9" s="4" t="s">
        <v>68</v>
      </c>
      <c r="B9" s="5">
        <v>9.8453830854435972E-2</v>
      </c>
      <c r="C9" s="5">
        <v>9.2500000000000013E-2</v>
      </c>
    </row>
    <row r="10" spans="1:3" x14ac:dyDescent="0.3">
      <c r="A10" s="4" t="s">
        <v>354</v>
      </c>
      <c r="B10" s="5">
        <v>8.0783054995965706E-2</v>
      </c>
      <c r="C10" s="5">
        <v>0.10500000000000001</v>
      </c>
    </row>
    <row r="11" spans="1:3" x14ac:dyDescent="0.3">
      <c r="A11" s="4" t="s">
        <v>79</v>
      </c>
      <c r="B11" s="5">
        <v>0.11994212224464711</v>
      </c>
      <c r="C11" s="5">
        <v>9.7500000000000017E-2</v>
      </c>
    </row>
    <row r="12" spans="1:3" x14ac:dyDescent="0.3">
      <c r="A12" s="4" t="s">
        <v>39</v>
      </c>
      <c r="B12" s="5">
        <v>9.9450790591755586E-2</v>
      </c>
      <c r="C12" s="5">
        <v>0.10499999999999998</v>
      </c>
    </row>
    <row r="13" spans="1:3" x14ac:dyDescent="0.3">
      <c r="A13" s="4" t="s">
        <v>58</v>
      </c>
      <c r="B13" s="5">
        <v>9.4883769441798771E-2</v>
      </c>
      <c r="C13" s="5">
        <v>0.11499999999999999</v>
      </c>
    </row>
    <row r="14" spans="1:3" x14ac:dyDescent="0.3">
      <c r="A14" s="4" t="s">
        <v>1062</v>
      </c>
      <c r="B14" s="5">
        <v>1</v>
      </c>
      <c r="C14"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9C17D-E36B-45BC-82D9-A3CF792B4CE7}">
  <dimension ref="A3:C4"/>
  <sheetViews>
    <sheetView workbookViewId="0">
      <selection activeCell="A3" sqref="A3:C4"/>
    </sheetView>
  </sheetViews>
  <sheetFormatPr defaultRowHeight="14.4" x14ac:dyDescent="0.3"/>
  <cols>
    <col min="1" max="1" width="17.77734375" bestFit="1" customWidth="1"/>
    <col min="2" max="2" width="14.77734375" bestFit="1" customWidth="1"/>
    <col min="3" max="3" width="14.21875" bestFit="1" customWidth="1"/>
    <col min="4" max="4" width="10.5546875" bestFit="1" customWidth="1"/>
  </cols>
  <sheetData>
    <row r="3" spans="1:3" x14ac:dyDescent="0.3">
      <c r="A3" t="s">
        <v>1060</v>
      </c>
      <c r="B3" t="s">
        <v>1077</v>
      </c>
      <c r="C3" t="s">
        <v>1078</v>
      </c>
    </row>
    <row r="4" spans="1:3" x14ac:dyDescent="0.3">
      <c r="A4" s="2">
        <v>242186.30999999997</v>
      </c>
      <c r="B4" s="2">
        <v>250</v>
      </c>
      <c r="C4" s="2">
        <v>803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9226D-27B6-4F49-B078-8C64886400E4}">
  <dimension ref="A1:Y43"/>
  <sheetViews>
    <sheetView tabSelected="1" topLeftCell="A2" zoomScale="98" zoomScaleNormal="98" workbookViewId="0">
      <selection sqref="A1:X3"/>
    </sheetView>
  </sheetViews>
  <sheetFormatPr defaultRowHeight="14.4" x14ac:dyDescent="0.3"/>
  <sheetData>
    <row r="1" spans="1:25" x14ac:dyDescent="0.3">
      <c r="A1" s="8" t="s">
        <v>1081</v>
      </c>
      <c r="B1" s="7"/>
      <c r="C1" s="7"/>
      <c r="D1" s="7"/>
      <c r="E1" s="7"/>
      <c r="F1" s="7"/>
      <c r="G1" s="7"/>
      <c r="H1" s="7"/>
      <c r="I1" s="7"/>
      <c r="J1" s="7"/>
      <c r="K1" s="7"/>
      <c r="L1" s="7"/>
      <c r="M1" s="7"/>
      <c r="N1" s="7"/>
      <c r="O1" s="7"/>
      <c r="P1" s="7"/>
      <c r="Q1" s="7"/>
      <c r="R1" s="7"/>
      <c r="S1" s="7"/>
      <c r="T1" s="7"/>
      <c r="U1" s="7"/>
      <c r="V1" s="7"/>
      <c r="W1" s="7"/>
      <c r="X1" s="7"/>
    </row>
    <row r="2" spans="1:25" x14ac:dyDescent="0.3">
      <c r="A2" s="7"/>
      <c r="B2" s="7"/>
      <c r="C2" s="7"/>
      <c r="D2" s="7"/>
      <c r="E2" s="7"/>
      <c r="F2" s="7"/>
      <c r="G2" s="7"/>
      <c r="H2" s="7"/>
      <c r="I2" s="7"/>
      <c r="J2" s="7"/>
      <c r="K2" s="7"/>
      <c r="L2" s="7"/>
      <c r="M2" s="7"/>
      <c r="N2" s="7"/>
      <c r="O2" s="7"/>
      <c r="P2" s="7"/>
      <c r="Q2" s="7"/>
      <c r="R2" s="7"/>
      <c r="S2" s="7"/>
      <c r="T2" s="7"/>
      <c r="U2" s="7"/>
      <c r="V2" s="7"/>
      <c r="W2" s="7"/>
      <c r="X2" s="7"/>
      <c r="Y2" t="s">
        <v>1076</v>
      </c>
    </row>
    <row r="3" spans="1:25" x14ac:dyDescent="0.3">
      <c r="A3" s="7"/>
      <c r="B3" s="7"/>
      <c r="C3" s="7"/>
      <c r="D3" s="7"/>
      <c r="E3" s="7"/>
      <c r="F3" s="7"/>
      <c r="G3" s="7"/>
      <c r="H3" s="7"/>
      <c r="I3" s="7"/>
      <c r="J3" s="7"/>
      <c r="K3" s="7"/>
      <c r="L3" s="7"/>
      <c r="M3" s="7"/>
      <c r="N3" s="7"/>
      <c r="O3" s="7"/>
      <c r="P3" s="7"/>
      <c r="Q3" s="7"/>
      <c r="R3" s="7"/>
      <c r="S3" s="7"/>
      <c r="T3" s="7"/>
      <c r="U3" s="7"/>
      <c r="V3" s="7"/>
      <c r="W3" s="7"/>
      <c r="X3" s="7"/>
      <c r="Y3">
        <f>GETPIVOTDATA("Sum of TotalAmount",Sheet8!$A$3)</f>
        <v>242186.30999999997</v>
      </c>
    </row>
    <row r="4" spans="1:25" x14ac:dyDescent="0.3">
      <c r="A4" s="6"/>
      <c r="B4" s="6"/>
      <c r="C4" s="6"/>
      <c r="D4" s="6"/>
      <c r="E4" s="6"/>
      <c r="F4" s="6"/>
      <c r="G4" s="6"/>
      <c r="H4" s="6"/>
      <c r="I4" s="6"/>
      <c r="J4" s="6"/>
      <c r="K4" s="6"/>
      <c r="L4" s="6"/>
      <c r="M4" s="6"/>
      <c r="N4" s="6"/>
      <c r="O4" s="6"/>
      <c r="P4" s="6"/>
      <c r="Q4" s="6"/>
      <c r="R4" s="6"/>
      <c r="S4" s="6"/>
      <c r="T4" s="6"/>
      <c r="U4" s="6"/>
      <c r="V4" s="6"/>
      <c r="W4" s="6"/>
      <c r="X4" s="6"/>
      <c r="Y4" t="s">
        <v>1079</v>
      </c>
    </row>
    <row r="5" spans="1:25" x14ac:dyDescent="0.3">
      <c r="A5" s="6"/>
      <c r="B5" s="6"/>
      <c r="C5" s="6"/>
      <c r="D5" s="6"/>
      <c r="E5" s="6"/>
      <c r="F5" s="6"/>
      <c r="G5" s="6"/>
      <c r="H5" s="6"/>
      <c r="I5" s="6"/>
      <c r="J5" s="6"/>
      <c r="K5" s="6"/>
      <c r="L5" s="6"/>
      <c r="M5" s="6"/>
      <c r="N5" s="6"/>
      <c r="O5" s="6"/>
      <c r="P5" s="6"/>
      <c r="Q5" s="6"/>
      <c r="R5" s="6"/>
      <c r="S5" s="6"/>
      <c r="T5" s="6"/>
      <c r="U5" s="6"/>
      <c r="V5" s="6"/>
      <c r="W5" s="6"/>
      <c r="X5" s="6"/>
      <c r="Y5">
        <f>GETPIVOTDATA("Count of OrderID",Sheet8!$A$3)</f>
        <v>250</v>
      </c>
    </row>
    <row r="6" spans="1:25" x14ac:dyDescent="0.3">
      <c r="A6" s="6"/>
      <c r="B6" s="6"/>
      <c r="C6" s="6"/>
      <c r="D6" s="6"/>
      <c r="E6" s="6"/>
      <c r="F6" s="6"/>
      <c r="G6" s="6"/>
      <c r="H6" s="6"/>
      <c r="I6" s="6"/>
      <c r="J6" s="6"/>
      <c r="K6" s="6"/>
      <c r="L6" s="6"/>
      <c r="M6" s="6"/>
      <c r="N6" s="6"/>
      <c r="O6" s="6"/>
      <c r="P6" s="6"/>
      <c r="Q6" s="6"/>
      <c r="R6" s="6"/>
      <c r="S6" s="6"/>
      <c r="T6" s="6"/>
      <c r="U6" s="6"/>
      <c r="V6" s="6"/>
      <c r="W6" s="6"/>
      <c r="X6" s="6"/>
      <c r="Y6" t="s">
        <v>1080</v>
      </c>
    </row>
    <row r="7" spans="1:25" x14ac:dyDescent="0.3">
      <c r="A7" s="6"/>
      <c r="B7" s="6"/>
      <c r="C7" s="6"/>
      <c r="D7" s="6"/>
      <c r="E7" s="6"/>
      <c r="F7" s="6"/>
      <c r="G7" s="6"/>
      <c r="H7" s="6"/>
      <c r="I7" s="6"/>
      <c r="J7" s="6"/>
      <c r="K7" s="6"/>
      <c r="L7" s="6"/>
      <c r="M7" s="6"/>
      <c r="N7" s="6"/>
      <c r="O7" s="6"/>
      <c r="P7" s="6"/>
      <c r="Q7" s="6"/>
      <c r="R7" s="6"/>
      <c r="S7" s="6"/>
      <c r="T7" s="6"/>
      <c r="U7" s="6"/>
      <c r="V7" s="6"/>
      <c r="W7" s="6"/>
      <c r="X7" s="6"/>
      <c r="Y7">
        <f>GETPIVOTDATA("Sum of Quantity",Sheet8!$A$3)</f>
        <v>803</v>
      </c>
    </row>
    <row r="8" spans="1:25" x14ac:dyDescent="0.3">
      <c r="A8" s="6"/>
      <c r="B8" s="6"/>
      <c r="C8" s="6"/>
      <c r="D8" s="6"/>
      <c r="E8" s="6"/>
      <c r="F8" s="6"/>
      <c r="G8" s="6"/>
      <c r="H8" s="6"/>
      <c r="I8" s="6"/>
      <c r="J8" s="6"/>
      <c r="K8" s="6"/>
      <c r="L8" s="6"/>
      <c r="M8" s="6"/>
      <c r="N8" s="6"/>
      <c r="O8" s="6"/>
      <c r="P8" s="6"/>
      <c r="Q8" s="6"/>
      <c r="R8" s="6"/>
      <c r="S8" s="6"/>
      <c r="T8" s="6"/>
      <c r="U8" s="6"/>
      <c r="V8" s="6"/>
      <c r="W8" s="6"/>
      <c r="X8" s="6"/>
    </row>
    <row r="9" spans="1:25" x14ac:dyDescent="0.3">
      <c r="A9" s="6"/>
      <c r="B9" s="6"/>
      <c r="C9" s="6"/>
      <c r="D9" s="6"/>
      <c r="E9" s="6"/>
      <c r="F9" s="6"/>
      <c r="G9" s="6"/>
      <c r="H9" s="6"/>
      <c r="I9" s="6"/>
      <c r="J9" s="6"/>
      <c r="K9" s="6"/>
      <c r="L9" s="6"/>
      <c r="M9" s="6"/>
      <c r="N9" s="6"/>
      <c r="O9" s="6"/>
      <c r="P9" s="6"/>
      <c r="Q9" s="6"/>
      <c r="R9" s="6"/>
      <c r="S9" s="6"/>
      <c r="T9" s="6"/>
      <c r="U9" s="6"/>
      <c r="V9" s="6"/>
      <c r="W9" s="6"/>
      <c r="X9" s="6"/>
    </row>
    <row r="10" spans="1:25" x14ac:dyDescent="0.3">
      <c r="A10" s="6"/>
      <c r="B10" s="6"/>
      <c r="C10" s="6"/>
      <c r="D10" s="6"/>
      <c r="E10" s="6"/>
      <c r="F10" s="6"/>
      <c r="G10" s="6"/>
      <c r="H10" s="6"/>
      <c r="I10" s="6"/>
      <c r="J10" s="6"/>
      <c r="K10" s="6"/>
      <c r="L10" s="6"/>
      <c r="M10" s="6"/>
      <c r="N10" s="6"/>
      <c r="O10" s="6"/>
      <c r="P10" s="6"/>
      <c r="Q10" s="6"/>
      <c r="R10" s="6"/>
      <c r="S10" s="6"/>
      <c r="T10" s="6"/>
      <c r="U10" s="6"/>
      <c r="V10" s="6"/>
      <c r="W10" s="6"/>
      <c r="X10" s="6"/>
    </row>
    <row r="11" spans="1:25" x14ac:dyDescent="0.3">
      <c r="A11" s="6"/>
      <c r="B11" s="6"/>
      <c r="C11" s="6"/>
      <c r="D11" s="6"/>
      <c r="E11" s="6"/>
      <c r="F11" s="6"/>
      <c r="G11" s="6"/>
      <c r="H11" s="6"/>
      <c r="I11" s="6"/>
      <c r="J11" s="6"/>
      <c r="K11" s="6"/>
      <c r="L11" s="6"/>
      <c r="M11" s="6"/>
      <c r="N11" s="6"/>
      <c r="O11" s="6"/>
      <c r="P11" s="6"/>
      <c r="Q11" s="6"/>
      <c r="R11" s="6"/>
      <c r="S11" s="6"/>
      <c r="T11" s="6"/>
      <c r="U11" s="6"/>
      <c r="V11" s="6"/>
      <c r="W11" s="6"/>
      <c r="X11" s="6"/>
    </row>
    <row r="12" spans="1:25" x14ac:dyDescent="0.3">
      <c r="A12" s="6"/>
      <c r="B12" s="6"/>
      <c r="C12" s="6"/>
      <c r="D12" s="6"/>
      <c r="E12" s="6"/>
      <c r="F12" s="6"/>
      <c r="G12" s="6"/>
      <c r="H12" s="6"/>
      <c r="I12" s="6"/>
      <c r="J12" s="6"/>
      <c r="K12" s="6"/>
      <c r="L12" s="6"/>
      <c r="M12" s="6"/>
      <c r="N12" s="6"/>
      <c r="O12" s="6"/>
      <c r="P12" s="6"/>
      <c r="Q12" s="6"/>
      <c r="R12" s="6"/>
      <c r="S12" s="6"/>
      <c r="T12" s="6"/>
      <c r="U12" s="6"/>
      <c r="V12" s="6"/>
      <c r="W12" s="6"/>
      <c r="X12" s="6"/>
    </row>
    <row r="13" spans="1:25" x14ac:dyDescent="0.3">
      <c r="A13" s="6"/>
      <c r="B13" s="6"/>
      <c r="C13" s="6"/>
      <c r="D13" s="6"/>
      <c r="E13" s="6"/>
      <c r="F13" s="6"/>
      <c r="G13" s="6"/>
      <c r="H13" s="6"/>
      <c r="I13" s="6"/>
      <c r="J13" s="6"/>
      <c r="K13" s="6"/>
      <c r="L13" s="6"/>
      <c r="M13" s="6"/>
      <c r="N13" s="6"/>
      <c r="O13" s="6"/>
      <c r="P13" s="6"/>
      <c r="Q13" s="6"/>
      <c r="R13" s="6"/>
      <c r="S13" s="6"/>
      <c r="T13" s="6"/>
      <c r="U13" s="6"/>
      <c r="V13" s="6"/>
      <c r="W13" s="6"/>
      <c r="X13" s="6"/>
    </row>
    <row r="14" spans="1:25" x14ac:dyDescent="0.3">
      <c r="A14" s="6"/>
      <c r="B14" s="6"/>
      <c r="C14" s="6"/>
      <c r="D14" s="6"/>
      <c r="E14" s="6"/>
      <c r="F14" s="6"/>
      <c r="G14" s="6"/>
      <c r="H14" s="6"/>
      <c r="I14" s="6"/>
      <c r="J14" s="6"/>
      <c r="K14" s="6"/>
      <c r="L14" s="6"/>
      <c r="M14" s="6"/>
      <c r="N14" s="6"/>
      <c r="O14" s="6"/>
      <c r="P14" s="6"/>
      <c r="Q14" s="6"/>
      <c r="R14" s="6"/>
      <c r="S14" s="6"/>
      <c r="T14" s="6"/>
      <c r="U14" s="6"/>
      <c r="V14" s="6"/>
      <c r="W14" s="6"/>
      <c r="X14" s="6"/>
    </row>
    <row r="15" spans="1:25" x14ac:dyDescent="0.3">
      <c r="A15" s="6"/>
      <c r="B15" s="6"/>
      <c r="C15" s="6"/>
      <c r="D15" s="6"/>
      <c r="E15" s="6"/>
      <c r="F15" s="6"/>
      <c r="G15" s="6"/>
      <c r="H15" s="6"/>
      <c r="I15" s="6"/>
      <c r="J15" s="6"/>
      <c r="K15" s="6"/>
      <c r="L15" s="6"/>
      <c r="M15" s="6"/>
      <c r="N15" s="6"/>
      <c r="O15" s="6"/>
      <c r="P15" s="6"/>
      <c r="Q15" s="6"/>
      <c r="R15" s="6"/>
      <c r="S15" s="6"/>
      <c r="T15" s="6"/>
      <c r="U15" s="6"/>
      <c r="V15" s="6"/>
      <c r="W15" s="6"/>
      <c r="X15" s="6"/>
    </row>
    <row r="16" spans="1:25"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row>
    <row r="32" spans="1:24" x14ac:dyDescent="0.3">
      <c r="A32" s="6"/>
      <c r="B32" s="6"/>
      <c r="C32" s="6"/>
      <c r="D32" s="6"/>
      <c r="E32" s="6"/>
      <c r="F32" s="6"/>
      <c r="G32" s="6"/>
      <c r="H32" s="6"/>
      <c r="I32" s="6"/>
      <c r="J32" s="6"/>
      <c r="K32" s="6"/>
      <c r="L32" s="6"/>
      <c r="M32" s="6"/>
      <c r="N32" s="6"/>
      <c r="O32" s="6"/>
      <c r="P32" s="6"/>
      <c r="Q32" s="6"/>
      <c r="R32" s="6"/>
      <c r="S32" s="6"/>
      <c r="T32" s="6"/>
      <c r="U32" s="6"/>
      <c r="V32" s="6"/>
      <c r="W32" s="6"/>
    </row>
    <row r="33" spans="1:23" x14ac:dyDescent="0.3">
      <c r="A33" s="6"/>
      <c r="B33" s="6"/>
      <c r="C33" s="6"/>
      <c r="D33" s="6"/>
      <c r="E33" s="6"/>
      <c r="F33" s="6"/>
      <c r="G33" s="6"/>
      <c r="H33" s="6"/>
      <c r="I33" s="6"/>
      <c r="J33" s="6"/>
      <c r="K33" s="6"/>
      <c r="L33" s="6"/>
      <c r="M33" s="6"/>
      <c r="N33" s="6"/>
      <c r="O33" s="6"/>
      <c r="P33" s="6"/>
      <c r="Q33" s="6"/>
      <c r="R33" s="6"/>
      <c r="S33" s="6"/>
      <c r="T33" s="6"/>
      <c r="U33" s="6"/>
      <c r="V33" s="6"/>
      <c r="W33" s="6"/>
    </row>
    <row r="34" spans="1:23" x14ac:dyDescent="0.3">
      <c r="A34" s="6"/>
      <c r="B34" s="6"/>
      <c r="C34" s="6"/>
      <c r="D34" s="6"/>
      <c r="E34" s="6"/>
      <c r="F34" s="6"/>
      <c r="G34" s="6"/>
      <c r="H34" s="6"/>
      <c r="I34" s="6"/>
      <c r="J34" s="6"/>
      <c r="K34" s="6"/>
      <c r="L34" s="6"/>
      <c r="M34" s="6"/>
      <c r="N34" s="6"/>
      <c r="O34" s="6"/>
      <c r="P34" s="6"/>
      <c r="Q34" s="6"/>
      <c r="R34" s="6"/>
      <c r="S34" s="6"/>
      <c r="T34" s="6"/>
      <c r="U34" s="6"/>
      <c r="V34" s="6"/>
      <c r="W34" s="6"/>
    </row>
    <row r="35" spans="1:23" x14ac:dyDescent="0.3">
      <c r="A35" s="6"/>
      <c r="B35" s="6"/>
      <c r="C35" s="6"/>
      <c r="D35" s="6"/>
      <c r="E35" s="6"/>
      <c r="F35" s="6"/>
      <c r="G35" s="6"/>
      <c r="H35" s="6"/>
      <c r="I35" s="6"/>
      <c r="J35" s="6"/>
      <c r="K35" s="6"/>
      <c r="L35" s="6"/>
      <c r="M35" s="6"/>
      <c r="N35" s="6"/>
      <c r="O35" s="6"/>
      <c r="P35" s="6"/>
      <c r="Q35" s="6"/>
      <c r="R35" s="6"/>
      <c r="S35" s="6"/>
      <c r="T35" s="6"/>
      <c r="U35" s="6"/>
      <c r="V35" s="6"/>
      <c r="W35" s="6"/>
    </row>
    <row r="36" spans="1:23" x14ac:dyDescent="0.3">
      <c r="A36" s="6"/>
      <c r="B36" s="6"/>
      <c r="C36" s="6"/>
      <c r="D36" s="6"/>
      <c r="E36" s="6"/>
      <c r="F36" s="6"/>
      <c r="G36" s="6"/>
      <c r="H36" s="6"/>
      <c r="I36" s="6"/>
      <c r="J36" s="6"/>
      <c r="K36" s="6"/>
      <c r="L36" s="6"/>
      <c r="M36" s="6"/>
      <c r="N36" s="6"/>
      <c r="O36" s="6"/>
      <c r="P36" s="6"/>
      <c r="Q36" s="6"/>
      <c r="R36" s="6"/>
      <c r="S36" s="6"/>
      <c r="T36" s="6"/>
      <c r="U36" s="6"/>
      <c r="V36" s="6"/>
      <c r="W36" s="6"/>
    </row>
    <row r="37" spans="1:23" x14ac:dyDescent="0.3">
      <c r="A37" s="6"/>
      <c r="B37" s="6"/>
      <c r="C37" s="6"/>
      <c r="D37" s="6"/>
      <c r="E37" s="6"/>
      <c r="F37" s="6"/>
      <c r="G37" s="6"/>
      <c r="H37" s="6"/>
      <c r="I37" s="6"/>
      <c r="J37" s="6"/>
      <c r="K37" s="6"/>
      <c r="L37" s="6"/>
      <c r="M37" s="6"/>
      <c r="N37" s="6"/>
      <c r="O37" s="6"/>
      <c r="P37" s="6"/>
      <c r="Q37" s="6"/>
      <c r="R37" s="6"/>
      <c r="S37" s="6"/>
      <c r="T37" s="6"/>
      <c r="U37" s="6"/>
      <c r="V37" s="6"/>
      <c r="W37" s="6"/>
    </row>
    <row r="38" spans="1:23" x14ac:dyDescent="0.3">
      <c r="A38" s="6"/>
      <c r="B38" s="6"/>
      <c r="C38" s="6"/>
      <c r="D38" s="6"/>
      <c r="E38" s="6"/>
      <c r="F38" s="6"/>
      <c r="G38" s="6"/>
      <c r="H38" s="6"/>
      <c r="I38" s="6"/>
      <c r="J38" s="6"/>
      <c r="K38" s="6"/>
      <c r="L38" s="6"/>
      <c r="M38" s="6"/>
      <c r="N38" s="6"/>
      <c r="O38" s="6"/>
      <c r="P38" s="6"/>
      <c r="Q38" s="6"/>
      <c r="R38" s="6"/>
      <c r="S38" s="6"/>
      <c r="T38" s="6"/>
      <c r="U38" s="6"/>
      <c r="V38" s="6"/>
      <c r="W38" s="6"/>
    </row>
    <row r="39" spans="1:23" x14ac:dyDescent="0.3">
      <c r="A39" s="6"/>
      <c r="B39" s="6"/>
      <c r="C39" s="6"/>
      <c r="D39" s="6"/>
      <c r="E39" s="6"/>
      <c r="F39" s="6"/>
      <c r="G39" s="6"/>
      <c r="H39" s="6"/>
      <c r="I39" s="6"/>
      <c r="J39" s="6"/>
      <c r="K39" s="6"/>
      <c r="L39" s="6"/>
      <c r="M39" s="6"/>
      <c r="N39" s="6"/>
      <c r="O39" s="6"/>
      <c r="P39" s="6"/>
      <c r="Q39" s="6"/>
      <c r="R39" s="6"/>
      <c r="S39" s="6"/>
      <c r="T39" s="6"/>
      <c r="U39" s="6"/>
      <c r="V39" s="6"/>
      <c r="W39" s="6"/>
    </row>
    <row r="40" spans="1:23" x14ac:dyDescent="0.3">
      <c r="A40" s="6"/>
      <c r="B40" s="6"/>
      <c r="C40" s="6"/>
      <c r="D40" s="6"/>
      <c r="E40" s="6"/>
      <c r="F40" s="6"/>
      <c r="G40" s="6"/>
      <c r="H40" s="6"/>
      <c r="I40" s="6"/>
      <c r="J40" s="6"/>
      <c r="K40" s="6"/>
      <c r="L40" s="6"/>
      <c r="M40" s="6"/>
      <c r="N40" s="6"/>
      <c r="O40" s="6"/>
      <c r="P40" s="6"/>
      <c r="Q40" s="6"/>
      <c r="R40" s="6"/>
      <c r="S40" s="6"/>
      <c r="T40" s="6"/>
      <c r="U40" s="6"/>
      <c r="V40" s="6"/>
      <c r="W40" s="6"/>
    </row>
    <row r="41" spans="1:23" x14ac:dyDescent="0.3">
      <c r="A41" s="6"/>
      <c r="B41" s="6"/>
      <c r="C41" s="6"/>
      <c r="D41" s="6"/>
      <c r="E41" s="6"/>
      <c r="F41" s="6"/>
      <c r="G41" s="6"/>
      <c r="H41" s="6"/>
      <c r="I41" s="6"/>
      <c r="J41" s="6"/>
      <c r="K41" s="6"/>
      <c r="L41" s="6"/>
      <c r="M41" s="6"/>
      <c r="N41" s="6"/>
      <c r="O41" s="6"/>
      <c r="P41" s="6"/>
      <c r="Q41" s="6"/>
      <c r="R41" s="6"/>
      <c r="S41" s="6"/>
      <c r="T41" s="6"/>
      <c r="U41" s="6"/>
      <c r="V41" s="6"/>
      <c r="W41" s="6"/>
    </row>
    <row r="42" spans="1:23" x14ac:dyDescent="0.3">
      <c r="A42" s="6"/>
      <c r="B42" s="6"/>
      <c r="C42" s="6"/>
      <c r="D42" s="6"/>
      <c r="E42" s="6"/>
      <c r="F42" s="6"/>
      <c r="G42" s="6"/>
      <c r="H42" s="6"/>
      <c r="I42" s="6"/>
      <c r="J42" s="6"/>
      <c r="K42" s="6"/>
      <c r="L42" s="6"/>
      <c r="M42" s="6"/>
      <c r="N42" s="6"/>
      <c r="O42" s="6"/>
      <c r="P42" s="6"/>
      <c r="Q42" s="6"/>
      <c r="R42" s="6"/>
      <c r="S42" s="6"/>
      <c r="T42" s="6"/>
      <c r="U42" s="6"/>
      <c r="V42" s="6"/>
      <c r="W42" s="6"/>
    </row>
    <row r="43" spans="1:23" x14ac:dyDescent="0.3">
      <c r="A43" s="6"/>
      <c r="B43" s="6"/>
      <c r="C43" s="6"/>
      <c r="D43" s="6"/>
      <c r="E43" s="6"/>
      <c r="F43" s="6"/>
      <c r="G43" s="6"/>
      <c r="H43" s="6"/>
      <c r="I43" s="6"/>
      <c r="J43" s="6"/>
      <c r="K43" s="6"/>
      <c r="L43" s="6"/>
      <c r="M43" s="6"/>
      <c r="N43" s="6"/>
      <c r="O43" s="6"/>
      <c r="P43" s="6"/>
      <c r="Q43" s="6"/>
      <c r="R43" s="6"/>
      <c r="S43" s="6"/>
      <c r="T43" s="6"/>
      <c r="U43" s="6"/>
      <c r="V43" s="6"/>
      <c r="W43" s="6"/>
    </row>
  </sheetData>
  <mergeCells count="1">
    <mergeCell ref="A1:X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632FB-CF6C-4EFC-8EAF-1F9B9A050863}">
  <dimension ref="A1:T251"/>
  <sheetViews>
    <sheetView workbookViewId="0">
      <selection activeCell="T251" sqref="A1:T251"/>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44957</v>
      </c>
      <c r="C2" t="s">
        <v>21</v>
      </c>
      <c r="D2" t="s">
        <v>22</v>
      </c>
      <c r="E2" t="s">
        <v>23</v>
      </c>
      <c r="F2" t="s">
        <v>24</v>
      </c>
      <c r="G2" t="s">
        <v>25</v>
      </c>
      <c r="H2" t="s">
        <v>26</v>
      </c>
      <c r="I2">
        <v>3</v>
      </c>
      <c r="J2">
        <v>106.59</v>
      </c>
      <c r="K2">
        <v>0</v>
      </c>
      <c r="L2">
        <v>0</v>
      </c>
      <c r="M2">
        <v>0.09</v>
      </c>
      <c r="N2">
        <v>319.86</v>
      </c>
      <c r="O2" t="s">
        <v>27</v>
      </c>
      <c r="P2" t="s">
        <v>28</v>
      </c>
      <c r="Q2" t="s">
        <v>29</v>
      </c>
      <c r="R2" t="s">
        <v>30</v>
      </c>
      <c r="S2" t="s">
        <v>31</v>
      </c>
      <c r="T2" t="s">
        <v>32</v>
      </c>
    </row>
    <row r="3" spans="1:20" x14ac:dyDescent="0.3">
      <c r="A3" t="s">
        <v>33</v>
      </c>
      <c r="B3" s="1">
        <v>45290</v>
      </c>
      <c r="C3" t="s">
        <v>34</v>
      </c>
      <c r="D3" t="s">
        <v>35</v>
      </c>
      <c r="E3" t="s">
        <v>36</v>
      </c>
      <c r="F3" t="s">
        <v>37</v>
      </c>
      <c r="G3" t="s">
        <v>38</v>
      </c>
      <c r="H3" t="s">
        <v>39</v>
      </c>
      <c r="I3">
        <v>1</v>
      </c>
      <c r="J3">
        <v>251.37</v>
      </c>
      <c r="K3">
        <v>0.05</v>
      </c>
      <c r="L3">
        <v>19.100000000000001</v>
      </c>
      <c r="M3">
        <v>1.74</v>
      </c>
      <c r="N3">
        <v>259.64</v>
      </c>
      <c r="O3" t="s">
        <v>40</v>
      </c>
      <c r="P3" t="s">
        <v>28</v>
      </c>
      <c r="Q3" t="s">
        <v>41</v>
      </c>
      <c r="R3" t="s">
        <v>42</v>
      </c>
      <c r="S3" t="s">
        <v>43</v>
      </c>
      <c r="T3" t="s">
        <v>44</v>
      </c>
    </row>
    <row r="4" spans="1:20" x14ac:dyDescent="0.3">
      <c r="A4" t="s">
        <v>45</v>
      </c>
      <c r="B4" s="1">
        <v>44691</v>
      </c>
      <c r="C4" t="s">
        <v>46</v>
      </c>
      <c r="D4" t="s">
        <v>47</v>
      </c>
      <c r="E4" t="s">
        <v>48</v>
      </c>
      <c r="F4" t="s">
        <v>49</v>
      </c>
      <c r="G4" t="s">
        <v>50</v>
      </c>
      <c r="H4" t="s">
        <v>39</v>
      </c>
      <c r="I4">
        <v>3</v>
      </c>
      <c r="J4">
        <v>35.03</v>
      </c>
      <c r="K4">
        <v>0.1</v>
      </c>
      <c r="L4">
        <v>7.57</v>
      </c>
      <c r="M4">
        <v>5.91</v>
      </c>
      <c r="N4">
        <v>108.06</v>
      </c>
      <c r="O4" t="s">
        <v>27</v>
      </c>
      <c r="P4" t="s">
        <v>28</v>
      </c>
      <c r="Q4" t="s">
        <v>51</v>
      </c>
      <c r="R4" t="s">
        <v>42</v>
      </c>
      <c r="S4" t="s">
        <v>43</v>
      </c>
      <c r="T4" t="s">
        <v>52</v>
      </c>
    </row>
    <row r="5" spans="1:20" x14ac:dyDescent="0.3">
      <c r="A5" t="s">
        <v>53</v>
      </c>
      <c r="B5" s="1">
        <v>45125</v>
      </c>
      <c r="C5" t="s">
        <v>54</v>
      </c>
      <c r="D5" t="s">
        <v>55</v>
      </c>
      <c r="E5" t="s">
        <v>56</v>
      </c>
      <c r="F5" t="s">
        <v>57</v>
      </c>
      <c r="G5" t="s">
        <v>38</v>
      </c>
      <c r="H5" t="s">
        <v>58</v>
      </c>
      <c r="I5">
        <v>5</v>
      </c>
      <c r="J5">
        <v>33.58</v>
      </c>
      <c r="K5">
        <v>0.15</v>
      </c>
      <c r="L5">
        <v>11.42</v>
      </c>
      <c r="M5">
        <v>5.53</v>
      </c>
      <c r="N5">
        <v>159.66</v>
      </c>
      <c r="O5" t="s">
        <v>59</v>
      </c>
      <c r="P5" t="s">
        <v>28</v>
      </c>
      <c r="Q5" t="s">
        <v>60</v>
      </c>
      <c r="R5" t="s">
        <v>61</v>
      </c>
      <c r="S5" t="s">
        <v>31</v>
      </c>
      <c r="T5" t="s">
        <v>62</v>
      </c>
    </row>
    <row r="6" spans="1:20" x14ac:dyDescent="0.3">
      <c r="A6" t="s">
        <v>63</v>
      </c>
      <c r="B6" s="1">
        <v>44961</v>
      </c>
      <c r="C6" t="s">
        <v>64</v>
      </c>
      <c r="D6" t="s">
        <v>65</v>
      </c>
      <c r="E6" t="s">
        <v>66</v>
      </c>
      <c r="F6" t="s">
        <v>67</v>
      </c>
      <c r="G6" t="s">
        <v>50</v>
      </c>
      <c r="H6" t="s">
        <v>68</v>
      </c>
      <c r="I6">
        <v>2</v>
      </c>
      <c r="J6">
        <v>515.64</v>
      </c>
      <c r="K6">
        <v>0.25</v>
      </c>
      <c r="L6">
        <v>38.67</v>
      </c>
      <c r="M6">
        <v>9.23</v>
      </c>
      <c r="N6">
        <v>821.36</v>
      </c>
      <c r="O6" t="s">
        <v>69</v>
      </c>
      <c r="P6" t="s">
        <v>70</v>
      </c>
      <c r="Q6" t="s">
        <v>71</v>
      </c>
      <c r="R6" t="s">
        <v>42</v>
      </c>
      <c r="S6" t="s">
        <v>72</v>
      </c>
      <c r="T6" t="s">
        <v>73</v>
      </c>
    </row>
    <row r="7" spans="1:20" x14ac:dyDescent="0.3">
      <c r="A7" t="s">
        <v>74</v>
      </c>
      <c r="B7" s="1">
        <v>44926</v>
      </c>
      <c r="C7" t="s">
        <v>75</v>
      </c>
      <c r="D7" t="s">
        <v>76</v>
      </c>
      <c r="E7" t="s">
        <v>77</v>
      </c>
      <c r="F7" t="s">
        <v>78</v>
      </c>
      <c r="G7" t="s">
        <v>25</v>
      </c>
      <c r="H7" t="s">
        <v>79</v>
      </c>
      <c r="I7">
        <v>4</v>
      </c>
      <c r="J7">
        <v>449.73</v>
      </c>
      <c r="K7">
        <v>0</v>
      </c>
      <c r="L7">
        <v>215.87</v>
      </c>
      <c r="M7">
        <v>2.74</v>
      </c>
      <c r="N7">
        <v>2017.53</v>
      </c>
      <c r="O7" t="s">
        <v>80</v>
      </c>
      <c r="P7" t="s">
        <v>28</v>
      </c>
      <c r="Q7" t="s">
        <v>81</v>
      </c>
      <c r="R7" t="s">
        <v>82</v>
      </c>
      <c r="S7" t="s">
        <v>43</v>
      </c>
      <c r="T7" t="s">
        <v>83</v>
      </c>
    </row>
    <row r="8" spans="1:20" x14ac:dyDescent="0.3">
      <c r="A8" t="s">
        <v>84</v>
      </c>
      <c r="B8" s="1">
        <v>45555</v>
      </c>
      <c r="C8" t="s">
        <v>85</v>
      </c>
      <c r="D8" t="s">
        <v>86</v>
      </c>
      <c r="E8" t="s">
        <v>87</v>
      </c>
      <c r="F8" t="s">
        <v>88</v>
      </c>
      <c r="G8" t="s">
        <v>50</v>
      </c>
      <c r="H8" t="s">
        <v>39</v>
      </c>
      <c r="I8">
        <v>2</v>
      </c>
      <c r="J8">
        <v>219.81</v>
      </c>
      <c r="K8">
        <v>0.2</v>
      </c>
      <c r="L8">
        <v>28.14</v>
      </c>
      <c r="M8">
        <v>14.97</v>
      </c>
      <c r="N8">
        <v>394.81</v>
      </c>
      <c r="O8" t="s">
        <v>80</v>
      </c>
      <c r="P8" t="s">
        <v>28</v>
      </c>
      <c r="Q8" t="s">
        <v>89</v>
      </c>
      <c r="R8" t="s">
        <v>90</v>
      </c>
      <c r="S8" t="s">
        <v>91</v>
      </c>
      <c r="T8" t="s">
        <v>92</v>
      </c>
    </row>
    <row r="9" spans="1:20" x14ac:dyDescent="0.3">
      <c r="A9" t="s">
        <v>93</v>
      </c>
      <c r="B9" s="1">
        <v>44875</v>
      </c>
      <c r="C9" t="s">
        <v>94</v>
      </c>
      <c r="D9" t="s">
        <v>95</v>
      </c>
      <c r="E9" t="s">
        <v>96</v>
      </c>
      <c r="F9" t="s">
        <v>97</v>
      </c>
      <c r="G9" t="s">
        <v>98</v>
      </c>
      <c r="H9" t="s">
        <v>68</v>
      </c>
      <c r="I9">
        <v>2</v>
      </c>
      <c r="J9">
        <v>306.51</v>
      </c>
      <c r="K9">
        <v>0.05</v>
      </c>
      <c r="L9">
        <v>29.12</v>
      </c>
      <c r="M9">
        <v>6.24</v>
      </c>
      <c r="N9">
        <v>617.73</v>
      </c>
      <c r="O9" t="s">
        <v>27</v>
      </c>
      <c r="P9" t="s">
        <v>99</v>
      </c>
      <c r="Q9" t="s">
        <v>100</v>
      </c>
      <c r="R9" t="s">
        <v>101</v>
      </c>
      <c r="S9" t="s">
        <v>31</v>
      </c>
      <c r="T9" t="s">
        <v>102</v>
      </c>
    </row>
    <row r="10" spans="1:20" x14ac:dyDescent="0.3">
      <c r="A10" t="s">
        <v>103</v>
      </c>
      <c r="B10" s="1">
        <v>45469</v>
      </c>
      <c r="C10" t="s">
        <v>104</v>
      </c>
      <c r="D10" t="s">
        <v>105</v>
      </c>
      <c r="E10" t="s">
        <v>106</v>
      </c>
      <c r="F10" t="s">
        <v>107</v>
      </c>
      <c r="G10" t="s">
        <v>108</v>
      </c>
      <c r="H10" t="s">
        <v>109</v>
      </c>
      <c r="I10">
        <v>4</v>
      </c>
      <c r="J10">
        <v>146.09</v>
      </c>
      <c r="K10">
        <v>0</v>
      </c>
      <c r="L10">
        <v>46.75</v>
      </c>
      <c r="M10">
        <v>7.03</v>
      </c>
      <c r="N10">
        <v>638.14</v>
      </c>
      <c r="O10" t="s">
        <v>27</v>
      </c>
      <c r="P10" t="s">
        <v>28</v>
      </c>
      <c r="Q10" t="s">
        <v>29</v>
      </c>
      <c r="R10" t="s">
        <v>30</v>
      </c>
      <c r="S10" t="s">
        <v>43</v>
      </c>
      <c r="T10" t="s">
        <v>110</v>
      </c>
    </row>
    <row r="11" spans="1:20" x14ac:dyDescent="0.3">
      <c r="A11" t="s">
        <v>111</v>
      </c>
      <c r="B11" s="1">
        <v>43952</v>
      </c>
      <c r="C11" t="s">
        <v>112</v>
      </c>
      <c r="D11" t="s">
        <v>113</v>
      </c>
      <c r="E11" t="s">
        <v>114</v>
      </c>
      <c r="F11" t="s">
        <v>115</v>
      </c>
      <c r="G11" t="s">
        <v>50</v>
      </c>
      <c r="H11" t="s">
        <v>109</v>
      </c>
      <c r="I11">
        <v>2</v>
      </c>
      <c r="J11">
        <v>278.20999999999998</v>
      </c>
      <c r="K11">
        <v>0.1</v>
      </c>
      <c r="L11">
        <v>60.09</v>
      </c>
      <c r="M11">
        <v>4.88</v>
      </c>
      <c r="N11">
        <v>565.75</v>
      </c>
      <c r="O11" t="s">
        <v>69</v>
      </c>
      <c r="P11" t="s">
        <v>28</v>
      </c>
      <c r="Q11" t="s">
        <v>116</v>
      </c>
      <c r="R11" t="s">
        <v>42</v>
      </c>
      <c r="S11" t="s">
        <v>43</v>
      </c>
      <c r="T11" t="s">
        <v>117</v>
      </c>
    </row>
    <row r="12" spans="1:20" x14ac:dyDescent="0.3">
      <c r="A12" t="s">
        <v>118</v>
      </c>
      <c r="B12" s="1">
        <v>44297</v>
      </c>
      <c r="C12" t="s">
        <v>119</v>
      </c>
      <c r="D12" t="s">
        <v>120</v>
      </c>
      <c r="E12" t="s">
        <v>121</v>
      </c>
      <c r="F12" t="s">
        <v>122</v>
      </c>
      <c r="G12" t="s">
        <v>25</v>
      </c>
      <c r="H12" t="s">
        <v>123</v>
      </c>
      <c r="I12">
        <v>1</v>
      </c>
      <c r="J12">
        <v>141.41999999999999</v>
      </c>
      <c r="K12">
        <v>0.05</v>
      </c>
      <c r="L12">
        <v>6.72</v>
      </c>
      <c r="M12">
        <v>9.6999999999999993</v>
      </c>
      <c r="N12">
        <v>150.77000000000001</v>
      </c>
      <c r="O12" t="s">
        <v>40</v>
      </c>
      <c r="P12" t="s">
        <v>28</v>
      </c>
      <c r="Q12" t="s">
        <v>124</v>
      </c>
      <c r="R12" t="s">
        <v>125</v>
      </c>
      <c r="S12" t="s">
        <v>91</v>
      </c>
      <c r="T12" t="s">
        <v>126</v>
      </c>
    </row>
    <row r="13" spans="1:20" x14ac:dyDescent="0.3">
      <c r="A13" t="s">
        <v>127</v>
      </c>
      <c r="B13" s="1">
        <v>45069</v>
      </c>
      <c r="C13" t="s">
        <v>128</v>
      </c>
      <c r="D13" t="s">
        <v>129</v>
      </c>
      <c r="E13" t="s">
        <v>130</v>
      </c>
      <c r="F13" t="s">
        <v>131</v>
      </c>
      <c r="G13" t="s">
        <v>38</v>
      </c>
      <c r="H13" t="s">
        <v>68</v>
      </c>
      <c r="I13">
        <v>5</v>
      </c>
      <c r="J13">
        <v>346.56</v>
      </c>
      <c r="K13">
        <v>0.05</v>
      </c>
      <c r="L13">
        <v>131.69</v>
      </c>
      <c r="M13">
        <v>13.38</v>
      </c>
      <c r="N13">
        <v>1791.23</v>
      </c>
      <c r="O13" t="s">
        <v>69</v>
      </c>
      <c r="P13" t="s">
        <v>132</v>
      </c>
      <c r="Q13" t="s">
        <v>60</v>
      </c>
      <c r="R13" t="s">
        <v>61</v>
      </c>
      <c r="S13" t="s">
        <v>91</v>
      </c>
      <c r="T13" t="s">
        <v>133</v>
      </c>
    </row>
    <row r="14" spans="1:20" x14ac:dyDescent="0.3">
      <c r="A14" t="s">
        <v>134</v>
      </c>
      <c r="B14" s="1">
        <v>44161</v>
      </c>
      <c r="C14" t="s">
        <v>135</v>
      </c>
      <c r="D14" t="s">
        <v>136</v>
      </c>
      <c r="E14" t="s">
        <v>137</v>
      </c>
      <c r="F14" t="s">
        <v>138</v>
      </c>
      <c r="G14" t="s">
        <v>38</v>
      </c>
      <c r="H14" t="s">
        <v>58</v>
      </c>
      <c r="I14">
        <v>4</v>
      </c>
      <c r="J14">
        <v>496.76</v>
      </c>
      <c r="K14">
        <v>0.05</v>
      </c>
      <c r="L14">
        <v>94.38</v>
      </c>
      <c r="M14">
        <v>4.43</v>
      </c>
      <c r="N14">
        <v>1986.5</v>
      </c>
      <c r="O14" t="s">
        <v>80</v>
      </c>
      <c r="P14" t="s">
        <v>28</v>
      </c>
      <c r="Q14" t="s">
        <v>139</v>
      </c>
      <c r="R14" t="s">
        <v>140</v>
      </c>
      <c r="S14" t="s">
        <v>43</v>
      </c>
      <c r="T14" t="s">
        <v>141</v>
      </c>
    </row>
    <row r="15" spans="1:20" x14ac:dyDescent="0.3">
      <c r="A15" t="s">
        <v>142</v>
      </c>
      <c r="B15" s="1">
        <v>45313</v>
      </c>
      <c r="C15" t="s">
        <v>143</v>
      </c>
      <c r="D15" t="s">
        <v>144</v>
      </c>
      <c r="E15" t="s">
        <v>36</v>
      </c>
      <c r="F15" t="s">
        <v>37</v>
      </c>
      <c r="G15" t="s">
        <v>38</v>
      </c>
      <c r="H15" t="s">
        <v>109</v>
      </c>
      <c r="I15">
        <v>3</v>
      </c>
      <c r="J15">
        <v>523.27</v>
      </c>
      <c r="K15">
        <v>0</v>
      </c>
      <c r="L15">
        <v>188.38</v>
      </c>
      <c r="M15">
        <v>8.0399999999999991</v>
      </c>
      <c r="N15">
        <v>1766.23</v>
      </c>
      <c r="O15" t="s">
        <v>27</v>
      </c>
      <c r="P15" t="s">
        <v>132</v>
      </c>
      <c r="Q15" t="s">
        <v>145</v>
      </c>
      <c r="R15" t="s">
        <v>146</v>
      </c>
      <c r="S15" t="s">
        <v>43</v>
      </c>
      <c r="T15" t="s">
        <v>147</v>
      </c>
    </row>
    <row r="16" spans="1:20" x14ac:dyDescent="0.3">
      <c r="A16" t="s">
        <v>148</v>
      </c>
      <c r="B16" s="1">
        <v>43918</v>
      </c>
      <c r="C16" t="s">
        <v>149</v>
      </c>
      <c r="D16" t="s">
        <v>150</v>
      </c>
      <c r="E16" t="s">
        <v>151</v>
      </c>
      <c r="F16" t="s">
        <v>152</v>
      </c>
      <c r="G16" t="s">
        <v>25</v>
      </c>
      <c r="H16" t="s">
        <v>123</v>
      </c>
      <c r="I16">
        <v>4</v>
      </c>
      <c r="J16">
        <v>291.37</v>
      </c>
      <c r="K16">
        <v>0.1</v>
      </c>
      <c r="L16">
        <v>52.45</v>
      </c>
      <c r="M16">
        <v>1.76</v>
      </c>
      <c r="N16">
        <v>1103.1400000000001</v>
      </c>
      <c r="O16" t="s">
        <v>153</v>
      </c>
      <c r="P16" t="s">
        <v>28</v>
      </c>
      <c r="Q16" t="s">
        <v>154</v>
      </c>
      <c r="R16" t="s">
        <v>155</v>
      </c>
      <c r="S16" t="s">
        <v>43</v>
      </c>
      <c r="T16" t="s">
        <v>156</v>
      </c>
    </row>
    <row r="17" spans="1:20" x14ac:dyDescent="0.3">
      <c r="A17" t="s">
        <v>157</v>
      </c>
      <c r="B17" s="1">
        <v>45227</v>
      </c>
      <c r="C17" t="s">
        <v>158</v>
      </c>
      <c r="D17" t="s">
        <v>159</v>
      </c>
      <c r="E17" t="s">
        <v>96</v>
      </c>
      <c r="F17" t="s">
        <v>97</v>
      </c>
      <c r="G17" t="s">
        <v>108</v>
      </c>
      <c r="H17" t="s">
        <v>123</v>
      </c>
      <c r="I17">
        <v>4</v>
      </c>
      <c r="J17">
        <v>533.12</v>
      </c>
      <c r="K17">
        <v>0.25</v>
      </c>
      <c r="L17">
        <v>79.97</v>
      </c>
      <c r="M17">
        <v>2.58</v>
      </c>
      <c r="N17">
        <v>1681.91</v>
      </c>
      <c r="O17" t="s">
        <v>40</v>
      </c>
      <c r="P17" t="s">
        <v>28</v>
      </c>
      <c r="Q17" t="s">
        <v>124</v>
      </c>
      <c r="R17" t="s">
        <v>125</v>
      </c>
      <c r="S17" t="s">
        <v>43</v>
      </c>
      <c r="T17" t="s">
        <v>160</v>
      </c>
    </row>
    <row r="18" spans="1:20" x14ac:dyDescent="0.3">
      <c r="A18" t="s">
        <v>161</v>
      </c>
      <c r="B18" s="1">
        <v>44954</v>
      </c>
      <c r="C18" t="s">
        <v>162</v>
      </c>
      <c r="D18" t="s">
        <v>163</v>
      </c>
      <c r="E18" t="s">
        <v>164</v>
      </c>
      <c r="F18" t="s">
        <v>165</v>
      </c>
      <c r="G18" t="s">
        <v>38</v>
      </c>
      <c r="H18" t="s">
        <v>58</v>
      </c>
      <c r="I18">
        <v>4</v>
      </c>
      <c r="J18">
        <v>453.47</v>
      </c>
      <c r="K18">
        <v>0.1</v>
      </c>
      <c r="L18">
        <v>0</v>
      </c>
      <c r="M18">
        <v>4.3899999999999997</v>
      </c>
      <c r="N18">
        <v>1636.88</v>
      </c>
      <c r="O18" t="s">
        <v>40</v>
      </c>
      <c r="P18" t="s">
        <v>28</v>
      </c>
      <c r="Q18" t="s">
        <v>166</v>
      </c>
      <c r="R18" t="s">
        <v>167</v>
      </c>
      <c r="S18" t="s">
        <v>43</v>
      </c>
      <c r="T18" t="s">
        <v>168</v>
      </c>
    </row>
    <row r="19" spans="1:20" x14ac:dyDescent="0.3">
      <c r="A19" t="s">
        <v>169</v>
      </c>
      <c r="B19" s="1">
        <v>44702</v>
      </c>
      <c r="C19" t="s">
        <v>170</v>
      </c>
      <c r="D19" t="s">
        <v>171</v>
      </c>
      <c r="E19" t="s">
        <v>172</v>
      </c>
      <c r="F19" t="s">
        <v>173</v>
      </c>
      <c r="G19" t="s">
        <v>98</v>
      </c>
      <c r="H19" t="s">
        <v>68</v>
      </c>
      <c r="I19">
        <v>5</v>
      </c>
      <c r="J19">
        <v>547.58000000000004</v>
      </c>
      <c r="K19">
        <v>0</v>
      </c>
      <c r="L19">
        <v>0</v>
      </c>
      <c r="M19">
        <v>10.06</v>
      </c>
      <c r="N19">
        <v>2747.96</v>
      </c>
      <c r="O19" t="s">
        <v>40</v>
      </c>
      <c r="P19" t="s">
        <v>28</v>
      </c>
      <c r="Q19" t="s">
        <v>145</v>
      </c>
      <c r="R19" t="s">
        <v>146</v>
      </c>
      <c r="S19" t="s">
        <v>43</v>
      </c>
      <c r="T19" t="s">
        <v>174</v>
      </c>
    </row>
    <row r="20" spans="1:20" x14ac:dyDescent="0.3">
      <c r="A20" t="s">
        <v>175</v>
      </c>
      <c r="B20" s="1">
        <v>45518</v>
      </c>
      <c r="C20" t="s">
        <v>176</v>
      </c>
      <c r="D20" t="s">
        <v>177</v>
      </c>
      <c r="E20" t="s">
        <v>178</v>
      </c>
      <c r="F20" t="s">
        <v>179</v>
      </c>
      <c r="G20" t="s">
        <v>180</v>
      </c>
      <c r="H20" t="s">
        <v>79</v>
      </c>
      <c r="I20">
        <v>5</v>
      </c>
      <c r="J20">
        <v>529.19000000000005</v>
      </c>
      <c r="K20">
        <v>0</v>
      </c>
      <c r="L20">
        <v>317.51</v>
      </c>
      <c r="M20">
        <v>4.57</v>
      </c>
      <c r="N20">
        <v>2968.03</v>
      </c>
      <c r="O20" t="s">
        <v>40</v>
      </c>
      <c r="P20" t="s">
        <v>181</v>
      </c>
      <c r="Q20" t="s">
        <v>182</v>
      </c>
      <c r="R20" t="s">
        <v>183</v>
      </c>
      <c r="S20" t="s">
        <v>43</v>
      </c>
      <c r="T20" t="s">
        <v>184</v>
      </c>
    </row>
    <row r="21" spans="1:20" x14ac:dyDescent="0.3">
      <c r="A21" t="s">
        <v>185</v>
      </c>
      <c r="B21" s="1">
        <v>43961</v>
      </c>
      <c r="C21" t="s">
        <v>186</v>
      </c>
      <c r="D21" t="s">
        <v>187</v>
      </c>
      <c r="E21" t="s">
        <v>36</v>
      </c>
      <c r="F21" t="s">
        <v>37</v>
      </c>
      <c r="G21" t="s">
        <v>108</v>
      </c>
      <c r="H21" t="s">
        <v>123</v>
      </c>
      <c r="I21">
        <v>3</v>
      </c>
      <c r="J21">
        <v>303.52999999999997</v>
      </c>
      <c r="K21">
        <v>0</v>
      </c>
      <c r="L21">
        <v>72.849999999999994</v>
      </c>
      <c r="M21">
        <v>4.18</v>
      </c>
      <c r="N21">
        <v>987.62</v>
      </c>
      <c r="O21" t="s">
        <v>80</v>
      </c>
      <c r="P21" t="s">
        <v>28</v>
      </c>
      <c r="Q21" t="s">
        <v>188</v>
      </c>
      <c r="R21" t="s">
        <v>82</v>
      </c>
      <c r="S21" t="s">
        <v>43</v>
      </c>
      <c r="T21" t="s">
        <v>189</v>
      </c>
    </row>
    <row r="22" spans="1:20" x14ac:dyDescent="0.3">
      <c r="A22" t="s">
        <v>190</v>
      </c>
      <c r="B22" s="1">
        <v>45516</v>
      </c>
      <c r="C22" t="s">
        <v>191</v>
      </c>
      <c r="D22" t="s">
        <v>192</v>
      </c>
      <c r="E22" t="s">
        <v>96</v>
      </c>
      <c r="F22" t="s">
        <v>97</v>
      </c>
      <c r="G22" t="s">
        <v>98</v>
      </c>
      <c r="H22" t="s">
        <v>109</v>
      </c>
      <c r="I22">
        <v>1</v>
      </c>
      <c r="J22">
        <v>226.26</v>
      </c>
      <c r="K22">
        <v>0</v>
      </c>
      <c r="L22">
        <v>11.31</v>
      </c>
      <c r="M22">
        <v>9.5500000000000007</v>
      </c>
      <c r="N22">
        <v>247.12</v>
      </c>
      <c r="O22" t="s">
        <v>69</v>
      </c>
      <c r="P22" t="s">
        <v>28</v>
      </c>
      <c r="Q22" t="s">
        <v>41</v>
      </c>
      <c r="R22" t="s">
        <v>42</v>
      </c>
      <c r="S22" t="s">
        <v>43</v>
      </c>
      <c r="T22" t="s">
        <v>193</v>
      </c>
    </row>
    <row r="23" spans="1:20" x14ac:dyDescent="0.3">
      <c r="A23" t="s">
        <v>194</v>
      </c>
      <c r="B23" s="1">
        <v>45163</v>
      </c>
      <c r="C23" t="s">
        <v>195</v>
      </c>
      <c r="D23" t="s">
        <v>144</v>
      </c>
      <c r="E23" t="s">
        <v>196</v>
      </c>
      <c r="F23" t="s">
        <v>197</v>
      </c>
      <c r="G23" t="s">
        <v>25</v>
      </c>
      <c r="H23" t="s">
        <v>79</v>
      </c>
      <c r="I23">
        <v>4</v>
      </c>
      <c r="J23">
        <v>493.47</v>
      </c>
      <c r="K23">
        <v>0</v>
      </c>
      <c r="L23">
        <v>98.69</v>
      </c>
      <c r="M23">
        <v>11.8</v>
      </c>
      <c r="N23">
        <v>2084.37</v>
      </c>
      <c r="O23" t="s">
        <v>69</v>
      </c>
      <c r="P23" t="s">
        <v>28</v>
      </c>
      <c r="Q23" t="s">
        <v>89</v>
      </c>
      <c r="R23" t="s">
        <v>90</v>
      </c>
      <c r="S23" t="s">
        <v>91</v>
      </c>
      <c r="T23" t="s">
        <v>198</v>
      </c>
    </row>
    <row r="24" spans="1:20" x14ac:dyDescent="0.3">
      <c r="A24" t="s">
        <v>199</v>
      </c>
      <c r="B24" s="1">
        <v>44600</v>
      </c>
      <c r="C24" t="s">
        <v>200</v>
      </c>
      <c r="D24" t="s">
        <v>201</v>
      </c>
      <c r="E24" t="s">
        <v>202</v>
      </c>
      <c r="F24" t="s">
        <v>203</v>
      </c>
      <c r="G24" t="s">
        <v>98</v>
      </c>
      <c r="H24" t="s">
        <v>109</v>
      </c>
      <c r="I24">
        <v>5</v>
      </c>
      <c r="J24">
        <v>452.12</v>
      </c>
      <c r="K24">
        <v>0</v>
      </c>
      <c r="L24">
        <v>113.03</v>
      </c>
      <c r="M24">
        <v>9.6199999999999992</v>
      </c>
      <c r="N24">
        <v>2383.25</v>
      </c>
      <c r="O24" t="s">
        <v>27</v>
      </c>
      <c r="P24" t="s">
        <v>28</v>
      </c>
      <c r="Q24" t="s">
        <v>182</v>
      </c>
      <c r="R24" t="s">
        <v>183</v>
      </c>
      <c r="S24" t="s">
        <v>72</v>
      </c>
      <c r="T24" t="s">
        <v>204</v>
      </c>
    </row>
    <row r="25" spans="1:20" x14ac:dyDescent="0.3">
      <c r="A25" t="s">
        <v>205</v>
      </c>
      <c r="B25" s="1">
        <v>44174</v>
      </c>
      <c r="C25" t="s">
        <v>206</v>
      </c>
      <c r="D25" t="s">
        <v>207</v>
      </c>
      <c r="E25" t="s">
        <v>208</v>
      </c>
      <c r="F25" t="s">
        <v>209</v>
      </c>
      <c r="G25" t="s">
        <v>180</v>
      </c>
      <c r="H25" t="s">
        <v>79</v>
      </c>
      <c r="I25">
        <v>3</v>
      </c>
      <c r="J25">
        <v>107.95</v>
      </c>
      <c r="K25">
        <v>0.1</v>
      </c>
      <c r="L25">
        <v>0</v>
      </c>
      <c r="M25">
        <v>8.2899999999999991</v>
      </c>
      <c r="N25">
        <v>299.76</v>
      </c>
      <c r="O25" t="s">
        <v>153</v>
      </c>
      <c r="P25" t="s">
        <v>28</v>
      </c>
      <c r="Q25" t="s">
        <v>210</v>
      </c>
      <c r="R25" t="s">
        <v>42</v>
      </c>
      <c r="S25" t="s">
        <v>43</v>
      </c>
      <c r="T25" t="s">
        <v>211</v>
      </c>
    </row>
    <row r="26" spans="1:20" x14ac:dyDescent="0.3">
      <c r="A26" t="s">
        <v>212</v>
      </c>
      <c r="B26" s="1">
        <v>45346</v>
      </c>
      <c r="C26" t="s">
        <v>213</v>
      </c>
      <c r="D26" t="s">
        <v>214</v>
      </c>
      <c r="E26" t="s">
        <v>215</v>
      </c>
      <c r="F26" t="s">
        <v>216</v>
      </c>
      <c r="G26" t="s">
        <v>98</v>
      </c>
      <c r="H26" t="s">
        <v>68</v>
      </c>
      <c r="I26">
        <v>1</v>
      </c>
      <c r="J26">
        <v>16.68</v>
      </c>
      <c r="K26">
        <v>0.15</v>
      </c>
      <c r="L26">
        <v>1.1299999999999999</v>
      </c>
      <c r="M26">
        <v>2.39</v>
      </c>
      <c r="N26">
        <v>17.7</v>
      </c>
      <c r="O26" t="s">
        <v>69</v>
      </c>
      <c r="P26" t="s">
        <v>28</v>
      </c>
      <c r="Q26" t="s">
        <v>124</v>
      </c>
      <c r="R26" t="s">
        <v>125</v>
      </c>
      <c r="S26" t="s">
        <v>43</v>
      </c>
      <c r="T26" t="s">
        <v>217</v>
      </c>
    </row>
    <row r="27" spans="1:20" x14ac:dyDescent="0.3">
      <c r="A27" t="s">
        <v>218</v>
      </c>
      <c r="B27" s="1">
        <v>45268</v>
      </c>
      <c r="C27" t="s">
        <v>219</v>
      </c>
      <c r="D27" t="s">
        <v>220</v>
      </c>
      <c r="E27" t="s">
        <v>87</v>
      </c>
      <c r="F27" t="s">
        <v>88</v>
      </c>
      <c r="G27" t="s">
        <v>50</v>
      </c>
      <c r="H27" t="s">
        <v>109</v>
      </c>
      <c r="I27">
        <v>4</v>
      </c>
      <c r="J27">
        <v>380.23</v>
      </c>
      <c r="K27">
        <v>0.2</v>
      </c>
      <c r="L27">
        <v>60.84</v>
      </c>
      <c r="M27">
        <v>9.2799999999999994</v>
      </c>
      <c r="N27">
        <v>1286.8599999999999</v>
      </c>
      <c r="O27" t="s">
        <v>40</v>
      </c>
      <c r="P27" t="s">
        <v>99</v>
      </c>
      <c r="Q27" t="s">
        <v>221</v>
      </c>
      <c r="R27" t="s">
        <v>222</v>
      </c>
      <c r="S27" t="s">
        <v>72</v>
      </c>
      <c r="T27" t="s">
        <v>223</v>
      </c>
    </row>
    <row r="28" spans="1:20" x14ac:dyDescent="0.3">
      <c r="A28" t="s">
        <v>224</v>
      </c>
      <c r="B28" s="1">
        <v>44636</v>
      </c>
      <c r="C28" t="s">
        <v>225</v>
      </c>
      <c r="D28" t="s">
        <v>192</v>
      </c>
      <c r="E28" t="s">
        <v>226</v>
      </c>
      <c r="F28" t="s">
        <v>227</v>
      </c>
      <c r="G28" t="s">
        <v>98</v>
      </c>
      <c r="H28" t="s">
        <v>39</v>
      </c>
      <c r="I28">
        <v>3</v>
      </c>
      <c r="J28">
        <v>569.69000000000005</v>
      </c>
      <c r="K28">
        <v>0.25</v>
      </c>
      <c r="L28">
        <v>153.82</v>
      </c>
      <c r="M28">
        <v>14.27</v>
      </c>
      <c r="N28">
        <v>1449.89</v>
      </c>
      <c r="O28" t="s">
        <v>69</v>
      </c>
      <c r="P28" t="s">
        <v>28</v>
      </c>
      <c r="Q28" t="s">
        <v>228</v>
      </c>
      <c r="R28" t="s">
        <v>82</v>
      </c>
      <c r="S28" t="s">
        <v>43</v>
      </c>
      <c r="T28" t="s">
        <v>229</v>
      </c>
    </row>
    <row r="29" spans="1:20" x14ac:dyDescent="0.3">
      <c r="A29" t="s">
        <v>230</v>
      </c>
      <c r="B29" s="1">
        <v>44216</v>
      </c>
      <c r="C29" t="s">
        <v>231</v>
      </c>
      <c r="D29" t="s">
        <v>232</v>
      </c>
      <c r="E29" t="s">
        <v>233</v>
      </c>
      <c r="F29" t="s">
        <v>234</v>
      </c>
      <c r="G29" t="s">
        <v>25</v>
      </c>
      <c r="H29" t="s">
        <v>123</v>
      </c>
      <c r="I29">
        <v>3</v>
      </c>
      <c r="J29">
        <v>138.33000000000001</v>
      </c>
      <c r="K29">
        <v>0</v>
      </c>
      <c r="L29">
        <v>49.8</v>
      </c>
      <c r="M29">
        <v>3.37</v>
      </c>
      <c r="N29">
        <v>468.16</v>
      </c>
      <c r="O29" t="s">
        <v>27</v>
      </c>
      <c r="P29" t="s">
        <v>28</v>
      </c>
      <c r="Q29" t="s">
        <v>71</v>
      </c>
      <c r="R29" t="s">
        <v>42</v>
      </c>
      <c r="S29" t="s">
        <v>235</v>
      </c>
      <c r="T29" t="s">
        <v>236</v>
      </c>
    </row>
    <row r="30" spans="1:20" x14ac:dyDescent="0.3">
      <c r="A30" t="s">
        <v>237</v>
      </c>
      <c r="B30" s="1">
        <v>45046</v>
      </c>
      <c r="C30" t="s">
        <v>238</v>
      </c>
      <c r="D30" t="s">
        <v>239</v>
      </c>
      <c r="E30" t="s">
        <v>226</v>
      </c>
      <c r="F30" t="s">
        <v>227</v>
      </c>
      <c r="G30" t="s">
        <v>180</v>
      </c>
      <c r="H30" t="s">
        <v>58</v>
      </c>
      <c r="I30">
        <v>3</v>
      </c>
      <c r="J30">
        <v>381.45</v>
      </c>
      <c r="K30">
        <v>0</v>
      </c>
      <c r="L30">
        <v>205.98</v>
      </c>
      <c r="M30">
        <v>8.99</v>
      </c>
      <c r="N30">
        <v>1359.32</v>
      </c>
      <c r="O30" t="s">
        <v>69</v>
      </c>
      <c r="P30" t="s">
        <v>28</v>
      </c>
      <c r="Q30" t="s">
        <v>100</v>
      </c>
      <c r="R30" t="s">
        <v>101</v>
      </c>
      <c r="S30" t="s">
        <v>43</v>
      </c>
      <c r="T30" t="s">
        <v>240</v>
      </c>
    </row>
    <row r="31" spans="1:20" x14ac:dyDescent="0.3">
      <c r="A31" t="s">
        <v>241</v>
      </c>
      <c r="B31" s="1">
        <v>44786</v>
      </c>
      <c r="C31" t="s">
        <v>242</v>
      </c>
      <c r="D31" t="s">
        <v>243</v>
      </c>
      <c r="E31" t="s">
        <v>244</v>
      </c>
      <c r="F31" t="s">
        <v>245</v>
      </c>
      <c r="G31" t="s">
        <v>98</v>
      </c>
      <c r="H31" t="s">
        <v>79</v>
      </c>
      <c r="I31">
        <v>5</v>
      </c>
      <c r="J31">
        <v>199.99</v>
      </c>
      <c r="K31">
        <v>0</v>
      </c>
      <c r="L31">
        <v>179.99</v>
      </c>
      <c r="M31">
        <v>5.19</v>
      </c>
      <c r="N31">
        <v>1185.1300000000001</v>
      </c>
      <c r="O31" t="s">
        <v>80</v>
      </c>
      <c r="P31" t="s">
        <v>28</v>
      </c>
      <c r="Q31" t="s">
        <v>182</v>
      </c>
      <c r="R31" t="s">
        <v>183</v>
      </c>
      <c r="S31" t="s">
        <v>43</v>
      </c>
      <c r="T31" t="s">
        <v>246</v>
      </c>
    </row>
    <row r="32" spans="1:20" x14ac:dyDescent="0.3">
      <c r="A32" t="s">
        <v>247</v>
      </c>
      <c r="B32" s="1">
        <v>44107</v>
      </c>
      <c r="C32" t="s">
        <v>248</v>
      </c>
      <c r="D32" t="s">
        <v>249</v>
      </c>
      <c r="E32" t="s">
        <v>121</v>
      </c>
      <c r="F32" t="s">
        <v>122</v>
      </c>
      <c r="G32" t="s">
        <v>25</v>
      </c>
      <c r="H32" t="s">
        <v>109</v>
      </c>
      <c r="I32">
        <v>2</v>
      </c>
      <c r="J32">
        <v>269.8</v>
      </c>
      <c r="K32">
        <v>0</v>
      </c>
      <c r="L32">
        <v>97.13</v>
      </c>
      <c r="M32">
        <v>1.49</v>
      </c>
      <c r="N32">
        <v>638.22</v>
      </c>
      <c r="O32" t="s">
        <v>27</v>
      </c>
      <c r="P32" t="s">
        <v>28</v>
      </c>
      <c r="Q32" t="s">
        <v>60</v>
      </c>
      <c r="R32" t="s">
        <v>61</v>
      </c>
      <c r="S32" t="s">
        <v>235</v>
      </c>
      <c r="T32" t="s">
        <v>250</v>
      </c>
    </row>
    <row r="33" spans="1:20" x14ac:dyDescent="0.3">
      <c r="A33" t="s">
        <v>251</v>
      </c>
      <c r="B33" s="1">
        <v>45015</v>
      </c>
      <c r="C33" t="s">
        <v>252</v>
      </c>
      <c r="D33" t="s">
        <v>253</v>
      </c>
      <c r="E33" t="s">
        <v>254</v>
      </c>
      <c r="F33" t="s">
        <v>255</v>
      </c>
      <c r="G33" t="s">
        <v>108</v>
      </c>
      <c r="H33" t="s">
        <v>256</v>
      </c>
      <c r="I33">
        <v>4</v>
      </c>
      <c r="J33">
        <v>126.5</v>
      </c>
      <c r="K33">
        <v>0.1</v>
      </c>
      <c r="L33">
        <v>22.77</v>
      </c>
      <c r="M33">
        <v>7.01</v>
      </c>
      <c r="N33">
        <v>485.18</v>
      </c>
      <c r="O33" t="s">
        <v>69</v>
      </c>
      <c r="P33" t="s">
        <v>132</v>
      </c>
      <c r="Q33" t="s">
        <v>116</v>
      </c>
      <c r="R33" t="s">
        <v>42</v>
      </c>
      <c r="S33" t="s">
        <v>31</v>
      </c>
      <c r="T33" t="s">
        <v>257</v>
      </c>
    </row>
    <row r="34" spans="1:20" x14ac:dyDescent="0.3">
      <c r="A34" t="s">
        <v>258</v>
      </c>
      <c r="B34" s="1">
        <v>44290</v>
      </c>
      <c r="C34" t="s">
        <v>259</v>
      </c>
      <c r="D34" t="s">
        <v>260</v>
      </c>
      <c r="E34" t="s">
        <v>261</v>
      </c>
      <c r="F34" t="s">
        <v>262</v>
      </c>
      <c r="G34" t="s">
        <v>180</v>
      </c>
      <c r="H34" t="s">
        <v>263</v>
      </c>
      <c r="I34">
        <v>2</v>
      </c>
      <c r="J34">
        <v>151.94999999999999</v>
      </c>
      <c r="K34">
        <v>0.05</v>
      </c>
      <c r="L34">
        <v>14.44</v>
      </c>
      <c r="M34">
        <v>3.5</v>
      </c>
      <c r="N34">
        <v>306.64</v>
      </c>
      <c r="O34" t="s">
        <v>69</v>
      </c>
      <c r="P34" t="s">
        <v>28</v>
      </c>
      <c r="Q34" t="s">
        <v>29</v>
      </c>
      <c r="R34" t="s">
        <v>30</v>
      </c>
      <c r="S34" t="s">
        <v>43</v>
      </c>
      <c r="T34" t="s">
        <v>264</v>
      </c>
    </row>
    <row r="35" spans="1:20" x14ac:dyDescent="0.3">
      <c r="A35" t="s">
        <v>265</v>
      </c>
      <c r="B35" s="1">
        <v>45168</v>
      </c>
      <c r="C35" t="s">
        <v>266</v>
      </c>
      <c r="D35" t="s">
        <v>267</v>
      </c>
      <c r="E35" t="s">
        <v>121</v>
      </c>
      <c r="F35" t="s">
        <v>122</v>
      </c>
      <c r="G35" t="s">
        <v>50</v>
      </c>
      <c r="H35" t="s">
        <v>123</v>
      </c>
      <c r="I35">
        <v>1</v>
      </c>
      <c r="J35">
        <v>218.74</v>
      </c>
      <c r="K35">
        <v>0</v>
      </c>
      <c r="L35">
        <v>10.94</v>
      </c>
      <c r="M35">
        <v>12.22</v>
      </c>
      <c r="N35">
        <v>241.9</v>
      </c>
      <c r="O35" t="s">
        <v>69</v>
      </c>
      <c r="P35" t="s">
        <v>28</v>
      </c>
      <c r="Q35" t="s">
        <v>51</v>
      </c>
      <c r="R35" t="s">
        <v>42</v>
      </c>
      <c r="S35" t="s">
        <v>43</v>
      </c>
      <c r="T35" t="s">
        <v>268</v>
      </c>
    </row>
    <row r="36" spans="1:20" x14ac:dyDescent="0.3">
      <c r="A36" t="s">
        <v>269</v>
      </c>
      <c r="B36" s="1">
        <v>43852</v>
      </c>
      <c r="C36" t="s">
        <v>270</v>
      </c>
      <c r="D36" t="s">
        <v>271</v>
      </c>
      <c r="E36" t="s">
        <v>208</v>
      </c>
      <c r="F36" t="s">
        <v>209</v>
      </c>
      <c r="G36" t="s">
        <v>108</v>
      </c>
      <c r="H36" t="s">
        <v>26</v>
      </c>
      <c r="I36">
        <v>5</v>
      </c>
      <c r="J36">
        <v>294.8</v>
      </c>
      <c r="K36">
        <v>0.1</v>
      </c>
      <c r="L36">
        <v>159.19</v>
      </c>
      <c r="M36">
        <v>4.08</v>
      </c>
      <c r="N36">
        <v>1489.87</v>
      </c>
      <c r="O36" t="s">
        <v>69</v>
      </c>
      <c r="P36" t="s">
        <v>132</v>
      </c>
      <c r="Q36" t="s">
        <v>41</v>
      </c>
      <c r="R36" t="s">
        <v>42</v>
      </c>
      <c r="S36" t="s">
        <v>43</v>
      </c>
      <c r="T36" t="s">
        <v>272</v>
      </c>
    </row>
    <row r="37" spans="1:20" x14ac:dyDescent="0.3">
      <c r="A37" t="s">
        <v>273</v>
      </c>
      <c r="B37" s="1">
        <v>44083</v>
      </c>
      <c r="C37" t="s">
        <v>274</v>
      </c>
      <c r="D37" t="s">
        <v>275</v>
      </c>
      <c r="E37" t="s">
        <v>178</v>
      </c>
      <c r="F37" t="s">
        <v>179</v>
      </c>
      <c r="G37" t="s">
        <v>25</v>
      </c>
      <c r="H37" t="s">
        <v>26</v>
      </c>
      <c r="I37">
        <v>1</v>
      </c>
      <c r="J37">
        <v>357.76</v>
      </c>
      <c r="K37">
        <v>0.25</v>
      </c>
      <c r="L37">
        <v>0</v>
      </c>
      <c r="M37">
        <v>6.76</v>
      </c>
      <c r="N37">
        <v>275.08</v>
      </c>
      <c r="O37" t="s">
        <v>40</v>
      </c>
      <c r="P37" t="s">
        <v>28</v>
      </c>
      <c r="Q37" t="s">
        <v>221</v>
      </c>
      <c r="R37" t="s">
        <v>222</v>
      </c>
      <c r="S37" t="s">
        <v>235</v>
      </c>
      <c r="T37" t="s">
        <v>276</v>
      </c>
    </row>
    <row r="38" spans="1:20" x14ac:dyDescent="0.3">
      <c r="A38" t="s">
        <v>277</v>
      </c>
      <c r="B38" s="1">
        <v>44578</v>
      </c>
      <c r="C38" t="s">
        <v>278</v>
      </c>
      <c r="D38" t="s">
        <v>279</v>
      </c>
      <c r="E38" t="s">
        <v>280</v>
      </c>
      <c r="F38" t="s">
        <v>281</v>
      </c>
      <c r="G38" t="s">
        <v>180</v>
      </c>
      <c r="H38" t="s">
        <v>263</v>
      </c>
      <c r="I38">
        <v>5</v>
      </c>
      <c r="J38">
        <v>448.89</v>
      </c>
      <c r="K38">
        <v>0</v>
      </c>
      <c r="L38">
        <v>179.56</v>
      </c>
      <c r="M38">
        <v>3.3</v>
      </c>
      <c r="N38">
        <v>2427.31</v>
      </c>
      <c r="O38" t="s">
        <v>69</v>
      </c>
      <c r="P38" t="s">
        <v>28</v>
      </c>
      <c r="Q38" t="s">
        <v>182</v>
      </c>
      <c r="R38" t="s">
        <v>183</v>
      </c>
      <c r="S38" t="s">
        <v>43</v>
      </c>
      <c r="T38" t="s">
        <v>282</v>
      </c>
    </row>
    <row r="39" spans="1:20" x14ac:dyDescent="0.3">
      <c r="A39" t="s">
        <v>283</v>
      </c>
      <c r="B39" s="1">
        <v>44687</v>
      </c>
      <c r="C39" t="s">
        <v>284</v>
      </c>
      <c r="D39" t="s">
        <v>285</v>
      </c>
      <c r="E39" t="s">
        <v>286</v>
      </c>
      <c r="F39" t="s">
        <v>287</v>
      </c>
      <c r="G39" t="s">
        <v>180</v>
      </c>
      <c r="H39" t="s">
        <v>79</v>
      </c>
      <c r="I39">
        <v>4</v>
      </c>
      <c r="J39">
        <v>300.89</v>
      </c>
      <c r="K39">
        <v>0</v>
      </c>
      <c r="L39">
        <v>144.43</v>
      </c>
      <c r="M39">
        <v>0.43</v>
      </c>
      <c r="N39">
        <v>1348.42</v>
      </c>
      <c r="O39" t="s">
        <v>69</v>
      </c>
      <c r="P39" t="s">
        <v>28</v>
      </c>
      <c r="Q39" t="s">
        <v>41</v>
      </c>
      <c r="R39" t="s">
        <v>42</v>
      </c>
      <c r="S39" t="s">
        <v>43</v>
      </c>
      <c r="T39" t="s">
        <v>288</v>
      </c>
    </row>
    <row r="40" spans="1:20" x14ac:dyDescent="0.3">
      <c r="A40" t="s">
        <v>289</v>
      </c>
      <c r="B40" s="1">
        <v>45415</v>
      </c>
      <c r="C40" t="s">
        <v>290</v>
      </c>
      <c r="D40" t="s">
        <v>291</v>
      </c>
      <c r="E40" t="s">
        <v>36</v>
      </c>
      <c r="F40" t="s">
        <v>37</v>
      </c>
      <c r="G40" t="s">
        <v>38</v>
      </c>
      <c r="H40" t="s">
        <v>256</v>
      </c>
      <c r="I40">
        <v>5</v>
      </c>
      <c r="J40">
        <v>512.88</v>
      </c>
      <c r="K40">
        <v>0.25</v>
      </c>
      <c r="L40">
        <v>96.17</v>
      </c>
      <c r="M40">
        <v>11.33</v>
      </c>
      <c r="N40">
        <v>2030.8</v>
      </c>
      <c r="O40" t="s">
        <v>40</v>
      </c>
      <c r="P40" t="s">
        <v>28</v>
      </c>
      <c r="Q40" t="s">
        <v>71</v>
      </c>
      <c r="R40" t="s">
        <v>42</v>
      </c>
      <c r="S40" t="s">
        <v>235</v>
      </c>
      <c r="T40" t="s">
        <v>292</v>
      </c>
    </row>
    <row r="41" spans="1:20" x14ac:dyDescent="0.3">
      <c r="A41" t="s">
        <v>293</v>
      </c>
      <c r="B41" s="1">
        <v>44305</v>
      </c>
      <c r="C41" t="s">
        <v>294</v>
      </c>
      <c r="D41" t="s">
        <v>253</v>
      </c>
      <c r="E41" t="s">
        <v>196</v>
      </c>
      <c r="F41" t="s">
        <v>197</v>
      </c>
      <c r="G41" t="s">
        <v>25</v>
      </c>
      <c r="H41" t="s">
        <v>123</v>
      </c>
      <c r="I41">
        <v>2</v>
      </c>
      <c r="J41">
        <v>81.819999999999993</v>
      </c>
      <c r="K41">
        <v>0.1</v>
      </c>
      <c r="L41">
        <v>7.36</v>
      </c>
      <c r="M41">
        <v>4.47</v>
      </c>
      <c r="N41">
        <v>159.11000000000001</v>
      </c>
      <c r="O41" t="s">
        <v>69</v>
      </c>
      <c r="P41" t="s">
        <v>28</v>
      </c>
      <c r="Q41" t="s">
        <v>124</v>
      </c>
      <c r="R41" t="s">
        <v>125</v>
      </c>
      <c r="S41" t="s">
        <v>43</v>
      </c>
      <c r="T41" t="s">
        <v>295</v>
      </c>
    </row>
    <row r="42" spans="1:20" x14ac:dyDescent="0.3">
      <c r="A42" t="s">
        <v>296</v>
      </c>
      <c r="B42" s="1">
        <v>44913</v>
      </c>
      <c r="C42" t="s">
        <v>297</v>
      </c>
      <c r="D42" t="s">
        <v>285</v>
      </c>
      <c r="E42" t="s">
        <v>151</v>
      </c>
      <c r="F42" t="s">
        <v>152</v>
      </c>
      <c r="G42" t="s">
        <v>108</v>
      </c>
      <c r="H42" t="s">
        <v>58</v>
      </c>
      <c r="I42">
        <v>3</v>
      </c>
      <c r="J42">
        <v>215.9</v>
      </c>
      <c r="K42">
        <v>0</v>
      </c>
      <c r="L42">
        <v>77.72</v>
      </c>
      <c r="M42">
        <v>8.4499999999999993</v>
      </c>
      <c r="N42">
        <v>733.87</v>
      </c>
      <c r="O42" t="s">
        <v>80</v>
      </c>
      <c r="P42" t="s">
        <v>28</v>
      </c>
      <c r="Q42" t="s">
        <v>89</v>
      </c>
      <c r="R42" t="s">
        <v>90</v>
      </c>
      <c r="S42" t="s">
        <v>43</v>
      </c>
      <c r="T42" t="s">
        <v>298</v>
      </c>
    </row>
    <row r="43" spans="1:20" x14ac:dyDescent="0.3">
      <c r="A43" t="s">
        <v>299</v>
      </c>
      <c r="B43" s="1">
        <v>44341</v>
      </c>
      <c r="C43" t="s">
        <v>300</v>
      </c>
      <c r="D43" t="s">
        <v>301</v>
      </c>
      <c r="E43" t="s">
        <v>302</v>
      </c>
      <c r="F43" t="s">
        <v>303</v>
      </c>
      <c r="G43" t="s">
        <v>25</v>
      </c>
      <c r="H43" t="s">
        <v>123</v>
      </c>
      <c r="I43">
        <v>5</v>
      </c>
      <c r="J43">
        <v>574.28</v>
      </c>
      <c r="K43">
        <v>0.1</v>
      </c>
      <c r="L43">
        <v>129.21</v>
      </c>
      <c r="M43">
        <v>2.23</v>
      </c>
      <c r="N43">
        <v>2715.7</v>
      </c>
      <c r="O43" t="s">
        <v>27</v>
      </c>
      <c r="P43" t="s">
        <v>28</v>
      </c>
      <c r="Q43" t="s">
        <v>71</v>
      </c>
      <c r="R43" t="s">
        <v>42</v>
      </c>
      <c r="S43" t="s">
        <v>43</v>
      </c>
      <c r="T43" t="s">
        <v>304</v>
      </c>
    </row>
    <row r="44" spans="1:20" x14ac:dyDescent="0.3">
      <c r="A44" t="s">
        <v>305</v>
      </c>
      <c r="B44" s="1">
        <v>45536</v>
      </c>
      <c r="C44" t="s">
        <v>306</v>
      </c>
      <c r="D44" t="s">
        <v>307</v>
      </c>
      <c r="E44" t="s">
        <v>106</v>
      </c>
      <c r="F44" t="s">
        <v>107</v>
      </c>
      <c r="G44" t="s">
        <v>38</v>
      </c>
      <c r="H44" t="s">
        <v>256</v>
      </c>
      <c r="I44">
        <v>4</v>
      </c>
      <c r="J44">
        <v>109.59</v>
      </c>
      <c r="K44">
        <v>0</v>
      </c>
      <c r="L44">
        <v>35.07</v>
      </c>
      <c r="M44">
        <v>7.59</v>
      </c>
      <c r="N44">
        <v>481.02</v>
      </c>
      <c r="O44" t="s">
        <v>40</v>
      </c>
      <c r="P44" t="s">
        <v>28</v>
      </c>
      <c r="Q44" t="s">
        <v>188</v>
      </c>
      <c r="R44" t="s">
        <v>82</v>
      </c>
      <c r="S44" t="s">
        <v>31</v>
      </c>
      <c r="T44" t="s">
        <v>308</v>
      </c>
    </row>
    <row r="45" spans="1:20" x14ac:dyDescent="0.3">
      <c r="A45" t="s">
        <v>309</v>
      </c>
      <c r="B45" s="1">
        <v>45330</v>
      </c>
      <c r="C45" t="s">
        <v>310</v>
      </c>
      <c r="D45" t="s">
        <v>311</v>
      </c>
      <c r="E45" t="s">
        <v>164</v>
      </c>
      <c r="F45" t="s">
        <v>165</v>
      </c>
      <c r="G45" t="s">
        <v>98</v>
      </c>
      <c r="H45" t="s">
        <v>123</v>
      </c>
      <c r="I45">
        <v>3</v>
      </c>
      <c r="J45">
        <v>88.46</v>
      </c>
      <c r="K45">
        <v>0.15</v>
      </c>
      <c r="L45">
        <v>40.6</v>
      </c>
      <c r="M45">
        <v>2.73</v>
      </c>
      <c r="N45">
        <v>268.89999999999998</v>
      </c>
      <c r="O45" t="s">
        <v>69</v>
      </c>
      <c r="P45" t="s">
        <v>70</v>
      </c>
      <c r="Q45" t="s">
        <v>71</v>
      </c>
      <c r="R45" t="s">
        <v>42</v>
      </c>
      <c r="S45" t="s">
        <v>43</v>
      </c>
      <c r="T45" t="s">
        <v>312</v>
      </c>
    </row>
    <row r="46" spans="1:20" x14ac:dyDescent="0.3">
      <c r="A46" t="s">
        <v>313</v>
      </c>
      <c r="B46" s="1">
        <v>44530</v>
      </c>
      <c r="C46" t="s">
        <v>314</v>
      </c>
      <c r="D46" t="s">
        <v>275</v>
      </c>
      <c r="E46" t="s">
        <v>151</v>
      </c>
      <c r="F46" t="s">
        <v>152</v>
      </c>
      <c r="G46" t="s">
        <v>180</v>
      </c>
      <c r="H46" t="s">
        <v>109</v>
      </c>
      <c r="I46">
        <v>4</v>
      </c>
      <c r="J46">
        <v>395.64</v>
      </c>
      <c r="K46">
        <v>0.05</v>
      </c>
      <c r="L46">
        <v>120.27</v>
      </c>
      <c r="M46">
        <v>3.89</v>
      </c>
      <c r="N46">
        <v>1627.59</v>
      </c>
      <c r="O46" t="s">
        <v>27</v>
      </c>
      <c r="P46" t="s">
        <v>28</v>
      </c>
      <c r="Q46" t="s">
        <v>116</v>
      </c>
      <c r="R46" t="s">
        <v>42</v>
      </c>
      <c r="S46" t="s">
        <v>43</v>
      </c>
      <c r="T46" t="s">
        <v>315</v>
      </c>
    </row>
    <row r="47" spans="1:20" x14ac:dyDescent="0.3">
      <c r="A47" t="s">
        <v>316</v>
      </c>
      <c r="B47" s="1">
        <v>44806</v>
      </c>
      <c r="C47" t="s">
        <v>317</v>
      </c>
      <c r="D47" t="s">
        <v>318</v>
      </c>
      <c r="E47" t="s">
        <v>319</v>
      </c>
      <c r="F47" t="s">
        <v>320</v>
      </c>
      <c r="G47" t="s">
        <v>98</v>
      </c>
      <c r="H47" t="s">
        <v>123</v>
      </c>
      <c r="I47">
        <v>2</v>
      </c>
      <c r="J47">
        <v>449.14</v>
      </c>
      <c r="K47">
        <v>0.05</v>
      </c>
      <c r="L47">
        <v>0</v>
      </c>
      <c r="M47">
        <v>5.62</v>
      </c>
      <c r="N47">
        <v>858.99</v>
      </c>
      <c r="O47" t="s">
        <v>27</v>
      </c>
      <c r="P47" t="s">
        <v>28</v>
      </c>
      <c r="Q47" t="s">
        <v>139</v>
      </c>
      <c r="R47" t="s">
        <v>140</v>
      </c>
      <c r="S47" t="s">
        <v>43</v>
      </c>
      <c r="T47" t="s">
        <v>321</v>
      </c>
    </row>
    <row r="48" spans="1:20" x14ac:dyDescent="0.3">
      <c r="A48" t="s">
        <v>322</v>
      </c>
      <c r="B48" s="1">
        <v>45637</v>
      </c>
      <c r="C48" t="s">
        <v>323</v>
      </c>
      <c r="D48" t="s">
        <v>324</v>
      </c>
      <c r="E48" t="s">
        <v>172</v>
      </c>
      <c r="F48" t="s">
        <v>173</v>
      </c>
      <c r="G48" t="s">
        <v>180</v>
      </c>
      <c r="H48" t="s">
        <v>263</v>
      </c>
      <c r="I48">
        <v>4</v>
      </c>
      <c r="J48">
        <v>121.45</v>
      </c>
      <c r="K48">
        <v>0</v>
      </c>
      <c r="L48">
        <v>0</v>
      </c>
      <c r="M48">
        <v>3.75</v>
      </c>
      <c r="N48">
        <v>489.55</v>
      </c>
      <c r="O48" t="s">
        <v>80</v>
      </c>
      <c r="P48" t="s">
        <v>28</v>
      </c>
      <c r="Q48" t="s">
        <v>51</v>
      </c>
      <c r="R48" t="s">
        <v>42</v>
      </c>
      <c r="S48" t="s">
        <v>43</v>
      </c>
      <c r="T48" t="s">
        <v>325</v>
      </c>
    </row>
    <row r="49" spans="1:20" x14ac:dyDescent="0.3">
      <c r="A49" t="s">
        <v>326</v>
      </c>
      <c r="B49" s="1">
        <v>44020</v>
      </c>
      <c r="C49" t="s">
        <v>327</v>
      </c>
      <c r="D49" t="s">
        <v>328</v>
      </c>
      <c r="E49" t="s">
        <v>87</v>
      </c>
      <c r="F49" t="s">
        <v>88</v>
      </c>
      <c r="G49" t="s">
        <v>98</v>
      </c>
      <c r="H49" t="s">
        <v>256</v>
      </c>
      <c r="I49">
        <v>2</v>
      </c>
      <c r="J49">
        <v>140.88999999999999</v>
      </c>
      <c r="K49">
        <v>0.05</v>
      </c>
      <c r="L49">
        <v>21.42</v>
      </c>
      <c r="M49">
        <v>0.48</v>
      </c>
      <c r="N49">
        <v>289.58999999999997</v>
      </c>
      <c r="O49" t="s">
        <v>27</v>
      </c>
      <c r="P49" t="s">
        <v>28</v>
      </c>
      <c r="Q49" t="s">
        <v>188</v>
      </c>
      <c r="R49" t="s">
        <v>82</v>
      </c>
      <c r="S49" t="s">
        <v>91</v>
      </c>
      <c r="T49" t="s">
        <v>329</v>
      </c>
    </row>
    <row r="50" spans="1:20" x14ac:dyDescent="0.3">
      <c r="A50" t="s">
        <v>330</v>
      </c>
      <c r="B50" s="1">
        <v>44788</v>
      </c>
      <c r="C50" t="s">
        <v>331</v>
      </c>
      <c r="D50" t="s">
        <v>332</v>
      </c>
      <c r="E50" t="s">
        <v>23</v>
      </c>
      <c r="F50" t="s">
        <v>24</v>
      </c>
      <c r="G50" t="s">
        <v>25</v>
      </c>
      <c r="H50" t="s">
        <v>79</v>
      </c>
      <c r="I50">
        <v>3</v>
      </c>
      <c r="J50">
        <v>249.84</v>
      </c>
      <c r="K50">
        <v>0.2</v>
      </c>
      <c r="L50">
        <v>47.97</v>
      </c>
      <c r="M50">
        <v>3.26</v>
      </c>
      <c r="N50">
        <v>650.85</v>
      </c>
      <c r="O50" t="s">
        <v>27</v>
      </c>
      <c r="P50" t="s">
        <v>28</v>
      </c>
      <c r="Q50" t="s">
        <v>71</v>
      </c>
      <c r="R50" t="s">
        <v>42</v>
      </c>
      <c r="S50" t="s">
        <v>91</v>
      </c>
      <c r="T50" t="s">
        <v>333</v>
      </c>
    </row>
    <row r="51" spans="1:20" x14ac:dyDescent="0.3">
      <c r="A51" t="s">
        <v>334</v>
      </c>
      <c r="B51" s="1">
        <v>44517</v>
      </c>
      <c r="C51" t="s">
        <v>335</v>
      </c>
      <c r="D51" t="s">
        <v>336</v>
      </c>
      <c r="E51" t="s">
        <v>337</v>
      </c>
      <c r="F51" t="s">
        <v>338</v>
      </c>
      <c r="G51" t="s">
        <v>25</v>
      </c>
      <c r="H51" t="s">
        <v>68</v>
      </c>
      <c r="I51">
        <v>3</v>
      </c>
      <c r="J51">
        <v>482.37</v>
      </c>
      <c r="K51">
        <v>0.15</v>
      </c>
      <c r="L51">
        <v>61.5</v>
      </c>
      <c r="M51">
        <v>8.73</v>
      </c>
      <c r="N51">
        <v>1300.27</v>
      </c>
      <c r="O51" t="s">
        <v>153</v>
      </c>
      <c r="P51" t="s">
        <v>28</v>
      </c>
      <c r="Q51" t="s">
        <v>339</v>
      </c>
      <c r="R51" t="s">
        <v>82</v>
      </c>
      <c r="S51" t="s">
        <v>31</v>
      </c>
      <c r="T51" t="s">
        <v>340</v>
      </c>
    </row>
    <row r="52" spans="1:20" x14ac:dyDescent="0.3">
      <c r="A52" t="s">
        <v>341</v>
      </c>
      <c r="B52" s="1">
        <v>44788</v>
      </c>
      <c r="C52" t="s">
        <v>342</v>
      </c>
      <c r="D52" t="s">
        <v>343</v>
      </c>
      <c r="E52" t="s">
        <v>261</v>
      </c>
      <c r="F52" t="s">
        <v>262</v>
      </c>
      <c r="G52" t="s">
        <v>25</v>
      </c>
      <c r="H52" t="s">
        <v>256</v>
      </c>
      <c r="I52">
        <v>3</v>
      </c>
      <c r="J52">
        <v>244.83</v>
      </c>
      <c r="K52">
        <v>0.25</v>
      </c>
      <c r="L52">
        <v>0</v>
      </c>
      <c r="M52">
        <v>8.07</v>
      </c>
      <c r="N52">
        <v>558.94000000000005</v>
      </c>
      <c r="O52" t="s">
        <v>59</v>
      </c>
      <c r="P52" t="s">
        <v>28</v>
      </c>
      <c r="Q52" t="s">
        <v>339</v>
      </c>
      <c r="R52" t="s">
        <v>82</v>
      </c>
      <c r="S52" t="s">
        <v>91</v>
      </c>
      <c r="T52" t="s">
        <v>344</v>
      </c>
    </row>
    <row r="53" spans="1:20" x14ac:dyDescent="0.3">
      <c r="A53" t="s">
        <v>345</v>
      </c>
      <c r="B53" s="1">
        <v>44393</v>
      </c>
      <c r="C53" t="s">
        <v>346</v>
      </c>
      <c r="D53" t="s">
        <v>347</v>
      </c>
      <c r="E53" t="s">
        <v>172</v>
      </c>
      <c r="F53" t="s">
        <v>173</v>
      </c>
      <c r="G53" t="s">
        <v>180</v>
      </c>
      <c r="H53" t="s">
        <v>39</v>
      </c>
      <c r="I53">
        <v>4</v>
      </c>
      <c r="J53">
        <v>353.85</v>
      </c>
      <c r="K53">
        <v>0.05</v>
      </c>
      <c r="L53">
        <v>67.23</v>
      </c>
      <c r="M53">
        <v>6.09</v>
      </c>
      <c r="N53">
        <v>1417.95</v>
      </c>
      <c r="O53" t="s">
        <v>27</v>
      </c>
      <c r="P53" t="s">
        <v>28</v>
      </c>
      <c r="Q53" t="s">
        <v>221</v>
      </c>
      <c r="R53" t="s">
        <v>222</v>
      </c>
      <c r="S53" t="s">
        <v>43</v>
      </c>
      <c r="T53" t="s">
        <v>348</v>
      </c>
    </row>
    <row r="54" spans="1:20" x14ac:dyDescent="0.3">
      <c r="A54" t="s">
        <v>349</v>
      </c>
      <c r="B54" s="1">
        <v>45421</v>
      </c>
      <c r="C54" t="s">
        <v>350</v>
      </c>
      <c r="D54" t="s">
        <v>351</v>
      </c>
      <c r="E54" t="s">
        <v>352</v>
      </c>
      <c r="F54" t="s">
        <v>353</v>
      </c>
      <c r="G54" t="s">
        <v>180</v>
      </c>
      <c r="H54" t="s">
        <v>354</v>
      </c>
      <c r="I54">
        <v>3</v>
      </c>
      <c r="J54">
        <v>324.76</v>
      </c>
      <c r="K54">
        <v>0.3</v>
      </c>
      <c r="L54">
        <v>34.1</v>
      </c>
      <c r="M54">
        <v>0.75</v>
      </c>
      <c r="N54">
        <v>716.85</v>
      </c>
      <c r="O54" t="s">
        <v>27</v>
      </c>
      <c r="P54" t="s">
        <v>132</v>
      </c>
      <c r="Q54" t="s">
        <v>145</v>
      </c>
      <c r="R54" t="s">
        <v>146</v>
      </c>
      <c r="S54" t="s">
        <v>43</v>
      </c>
      <c r="T54" t="s">
        <v>355</v>
      </c>
    </row>
    <row r="55" spans="1:20" x14ac:dyDescent="0.3">
      <c r="A55" t="s">
        <v>356</v>
      </c>
      <c r="B55" s="1">
        <v>45098</v>
      </c>
      <c r="C55" t="s">
        <v>357</v>
      </c>
      <c r="D55" t="s">
        <v>351</v>
      </c>
      <c r="E55" t="s">
        <v>358</v>
      </c>
      <c r="F55" t="s">
        <v>359</v>
      </c>
      <c r="G55" t="s">
        <v>108</v>
      </c>
      <c r="H55" t="s">
        <v>256</v>
      </c>
      <c r="I55">
        <v>1</v>
      </c>
      <c r="J55">
        <v>491.78</v>
      </c>
      <c r="K55">
        <v>0.1</v>
      </c>
      <c r="L55">
        <v>53.11</v>
      </c>
      <c r="M55">
        <v>5.14</v>
      </c>
      <c r="N55">
        <v>500.85</v>
      </c>
      <c r="O55" t="s">
        <v>40</v>
      </c>
      <c r="P55" t="s">
        <v>28</v>
      </c>
      <c r="Q55" t="s">
        <v>60</v>
      </c>
      <c r="R55" t="s">
        <v>61</v>
      </c>
      <c r="S55" t="s">
        <v>31</v>
      </c>
      <c r="T55" t="s">
        <v>360</v>
      </c>
    </row>
    <row r="56" spans="1:20" x14ac:dyDescent="0.3">
      <c r="A56" t="s">
        <v>361</v>
      </c>
      <c r="B56" s="1">
        <v>44662</v>
      </c>
      <c r="C56" t="s">
        <v>362</v>
      </c>
      <c r="D56" t="s">
        <v>271</v>
      </c>
      <c r="E56" t="s">
        <v>48</v>
      </c>
      <c r="F56" t="s">
        <v>49</v>
      </c>
      <c r="G56" t="s">
        <v>180</v>
      </c>
      <c r="H56" t="s">
        <v>354</v>
      </c>
      <c r="I56">
        <v>4</v>
      </c>
      <c r="J56">
        <v>549.22</v>
      </c>
      <c r="K56">
        <v>0.05</v>
      </c>
      <c r="L56">
        <v>104.35</v>
      </c>
      <c r="M56">
        <v>8.2200000000000006</v>
      </c>
      <c r="N56">
        <v>2199.61</v>
      </c>
      <c r="O56" t="s">
        <v>80</v>
      </c>
      <c r="P56" t="s">
        <v>28</v>
      </c>
      <c r="Q56" t="s">
        <v>89</v>
      </c>
      <c r="R56" t="s">
        <v>90</v>
      </c>
      <c r="S56" t="s">
        <v>43</v>
      </c>
      <c r="T56" t="s">
        <v>325</v>
      </c>
    </row>
    <row r="57" spans="1:20" x14ac:dyDescent="0.3">
      <c r="A57" t="s">
        <v>363</v>
      </c>
      <c r="B57" s="1">
        <v>45359</v>
      </c>
      <c r="C57" t="s">
        <v>364</v>
      </c>
      <c r="D57" t="s">
        <v>365</v>
      </c>
      <c r="E57" t="s">
        <v>48</v>
      </c>
      <c r="F57" t="s">
        <v>49</v>
      </c>
      <c r="G57" t="s">
        <v>38</v>
      </c>
      <c r="H57" t="s">
        <v>109</v>
      </c>
      <c r="I57">
        <v>4</v>
      </c>
      <c r="J57">
        <v>364.08</v>
      </c>
      <c r="K57">
        <v>0.25</v>
      </c>
      <c r="L57">
        <v>131.07</v>
      </c>
      <c r="M57">
        <v>12.95</v>
      </c>
      <c r="N57">
        <v>1236.26</v>
      </c>
      <c r="O57" t="s">
        <v>69</v>
      </c>
      <c r="P57" t="s">
        <v>99</v>
      </c>
      <c r="Q57" t="s">
        <v>89</v>
      </c>
      <c r="R57" t="s">
        <v>90</v>
      </c>
      <c r="S57" t="s">
        <v>43</v>
      </c>
      <c r="T57" t="s">
        <v>366</v>
      </c>
    </row>
    <row r="58" spans="1:20" x14ac:dyDescent="0.3">
      <c r="A58" t="s">
        <v>367</v>
      </c>
      <c r="B58" s="1">
        <v>44985</v>
      </c>
      <c r="C58" t="s">
        <v>368</v>
      </c>
      <c r="D58" t="s">
        <v>369</v>
      </c>
      <c r="E58" t="s">
        <v>302</v>
      </c>
      <c r="F58" t="s">
        <v>303</v>
      </c>
      <c r="G58" t="s">
        <v>108</v>
      </c>
      <c r="H58" t="s">
        <v>123</v>
      </c>
      <c r="I58">
        <v>2</v>
      </c>
      <c r="J58">
        <v>509.59</v>
      </c>
      <c r="K58">
        <v>0</v>
      </c>
      <c r="L58">
        <v>183.45</v>
      </c>
      <c r="M58">
        <v>3.79</v>
      </c>
      <c r="N58">
        <v>1206.42</v>
      </c>
      <c r="O58" t="s">
        <v>69</v>
      </c>
      <c r="P58" t="s">
        <v>132</v>
      </c>
      <c r="Q58" t="s">
        <v>339</v>
      </c>
      <c r="R58" t="s">
        <v>82</v>
      </c>
      <c r="S58" t="s">
        <v>43</v>
      </c>
      <c r="T58" t="s">
        <v>370</v>
      </c>
    </row>
    <row r="59" spans="1:20" x14ac:dyDescent="0.3">
      <c r="A59" t="s">
        <v>371</v>
      </c>
      <c r="B59" s="1">
        <v>45339</v>
      </c>
      <c r="C59" t="s">
        <v>372</v>
      </c>
      <c r="D59" t="s">
        <v>373</v>
      </c>
      <c r="E59" t="s">
        <v>374</v>
      </c>
      <c r="F59" t="s">
        <v>375</v>
      </c>
      <c r="G59" t="s">
        <v>50</v>
      </c>
      <c r="H59" t="s">
        <v>39</v>
      </c>
      <c r="I59">
        <v>5</v>
      </c>
      <c r="J59">
        <v>182.55</v>
      </c>
      <c r="K59">
        <v>0</v>
      </c>
      <c r="L59">
        <v>45.64</v>
      </c>
      <c r="M59">
        <v>12.08</v>
      </c>
      <c r="N59">
        <v>970.47</v>
      </c>
      <c r="O59" t="s">
        <v>80</v>
      </c>
      <c r="P59" t="s">
        <v>28</v>
      </c>
      <c r="Q59" t="s">
        <v>188</v>
      </c>
      <c r="R59" t="s">
        <v>82</v>
      </c>
      <c r="S59" t="s">
        <v>72</v>
      </c>
      <c r="T59" t="s">
        <v>376</v>
      </c>
    </row>
    <row r="60" spans="1:20" x14ac:dyDescent="0.3">
      <c r="A60" t="s">
        <v>377</v>
      </c>
      <c r="B60" s="1">
        <v>44477</v>
      </c>
      <c r="C60" t="s">
        <v>378</v>
      </c>
      <c r="D60" t="s">
        <v>379</v>
      </c>
      <c r="E60" t="s">
        <v>380</v>
      </c>
      <c r="F60" t="s">
        <v>381</v>
      </c>
      <c r="G60" t="s">
        <v>98</v>
      </c>
      <c r="H60" t="s">
        <v>109</v>
      </c>
      <c r="I60">
        <v>3</v>
      </c>
      <c r="J60">
        <v>184.7</v>
      </c>
      <c r="K60">
        <v>0.3</v>
      </c>
      <c r="L60">
        <v>46.54</v>
      </c>
      <c r="M60">
        <v>7.98</v>
      </c>
      <c r="N60">
        <v>442.39</v>
      </c>
      <c r="O60" t="s">
        <v>27</v>
      </c>
      <c r="P60" t="s">
        <v>28</v>
      </c>
      <c r="Q60" t="s">
        <v>210</v>
      </c>
      <c r="R60" t="s">
        <v>42</v>
      </c>
      <c r="S60" t="s">
        <v>43</v>
      </c>
      <c r="T60" t="s">
        <v>382</v>
      </c>
    </row>
    <row r="61" spans="1:20" x14ac:dyDescent="0.3">
      <c r="A61" t="s">
        <v>383</v>
      </c>
      <c r="B61" s="1">
        <v>43851</v>
      </c>
      <c r="C61" t="s">
        <v>384</v>
      </c>
      <c r="D61" t="s">
        <v>385</v>
      </c>
      <c r="E61" t="s">
        <v>386</v>
      </c>
      <c r="F61" t="s">
        <v>387</v>
      </c>
      <c r="G61" t="s">
        <v>180</v>
      </c>
      <c r="H61" t="s">
        <v>354</v>
      </c>
      <c r="I61">
        <v>2</v>
      </c>
      <c r="J61">
        <v>439.8</v>
      </c>
      <c r="K61">
        <v>0</v>
      </c>
      <c r="L61">
        <v>43.98</v>
      </c>
      <c r="M61">
        <v>7.55</v>
      </c>
      <c r="N61">
        <v>931.13</v>
      </c>
      <c r="O61" t="s">
        <v>40</v>
      </c>
      <c r="P61" t="s">
        <v>28</v>
      </c>
      <c r="Q61" t="s">
        <v>124</v>
      </c>
      <c r="R61" t="s">
        <v>125</v>
      </c>
      <c r="S61" t="s">
        <v>31</v>
      </c>
      <c r="T61" t="s">
        <v>388</v>
      </c>
    </row>
    <row r="62" spans="1:20" x14ac:dyDescent="0.3">
      <c r="A62" t="s">
        <v>389</v>
      </c>
      <c r="B62" s="1">
        <v>44671</v>
      </c>
      <c r="C62" t="s">
        <v>390</v>
      </c>
      <c r="D62" t="s">
        <v>177</v>
      </c>
      <c r="E62" t="s">
        <v>391</v>
      </c>
      <c r="F62" t="s">
        <v>392</v>
      </c>
      <c r="G62" t="s">
        <v>25</v>
      </c>
      <c r="H62" t="s">
        <v>26</v>
      </c>
      <c r="I62">
        <v>4</v>
      </c>
      <c r="J62">
        <v>593.02</v>
      </c>
      <c r="K62">
        <v>0.05</v>
      </c>
      <c r="L62">
        <v>405.63</v>
      </c>
      <c r="M62">
        <v>9.18</v>
      </c>
      <c r="N62">
        <v>2668.29</v>
      </c>
      <c r="O62" t="s">
        <v>80</v>
      </c>
      <c r="P62" t="s">
        <v>132</v>
      </c>
      <c r="Q62" t="s">
        <v>51</v>
      </c>
      <c r="R62" t="s">
        <v>42</v>
      </c>
      <c r="S62" t="s">
        <v>31</v>
      </c>
      <c r="T62" t="s">
        <v>393</v>
      </c>
    </row>
    <row r="63" spans="1:20" x14ac:dyDescent="0.3">
      <c r="A63" t="s">
        <v>394</v>
      </c>
      <c r="B63" s="1">
        <v>43997</v>
      </c>
      <c r="C63" t="s">
        <v>395</v>
      </c>
      <c r="D63" t="s">
        <v>396</v>
      </c>
      <c r="E63" t="s">
        <v>164</v>
      </c>
      <c r="F63" t="s">
        <v>165</v>
      </c>
      <c r="G63" t="s">
        <v>38</v>
      </c>
      <c r="H63" t="s">
        <v>79</v>
      </c>
      <c r="I63">
        <v>3</v>
      </c>
      <c r="J63">
        <v>131.36000000000001</v>
      </c>
      <c r="K63">
        <v>0</v>
      </c>
      <c r="L63">
        <v>70.930000000000007</v>
      </c>
      <c r="M63">
        <v>7.25</v>
      </c>
      <c r="N63">
        <v>472.26</v>
      </c>
      <c r="O63" t="s">
        <v>80</v>
      </c>
      <c r="P63" t="s">
        <v>28</v>
      </c>
      <c r="Q63" t="s">
        <v>60</v>
      </c>
      <c r="R63" t="s">
        <v>61</v>
      </c>
      <c r="S63" t="s">
        <v>72</v>
      </c>
      <c r="T63" t="s">
        <v>397</v>
      </c>
    </row>
    <row r="64" spans="1:20" x14ac:dyDescent="0.3">
      <c r="A64" t="s">
        <v>398</v>
      </c>
      <c r="B64" s="1">
        <v>45128</v>
      </c>
      <c r="C64" t="s">
        <v>399</v>
      </c>
      <c r="D64" t="s">
        <v>201</v>
      </c>
      <c r="E64" t="s">
        <v>400</v>
      </c>
      <c r="F64" t="s">
        <v>401</v>
      </c>
      <c r="G64" t="s">
        <v>98</v>
      </c>
      <c r="H64" t="s">
        <v>123</v>
      </c>
      <c r="I64">
        <v>3</v>
      </c>
      <c r="J64">
        <v>71.260000000000005</v>
      </c>
      <c r="K64">
        <v>0.1</v>
      </c>
      <c r="L64">
        <v>23.09</v>
      </c>
      <c r="M64">
        <v>11.28</v>
      </c>
      <c r="N64">
        <v>226.77</v>
      </c>
      <c r="O64" t="s">
        <v>69</v>
      </c>
      <c r="P64" t="s">
        <v>181</v>
      </c>
      <c r="Q64" t="s">
        <v>41</v>
      </c>
      <c r="R64" t="s">
        <v>42</v>
      </c>
      <c r="S64" t="s">
        <v>43</v>
      </c>
      <c r="T64" t="s">
        <v>402</v>
      </c>
    </row>
    <row r="65" spans="1:20" x14ac:dyDescent="0.3">
      <c r="A65" t="s">
        <v>403</v>
      </c>
      <c r="B65" s="1">
        <v>44218</v>
      </c>
      <c r="C65" t="s">
        <v>404</v>
      </c>
      <c r="D65" t="s">
        <v>405</v>
      </c>
      <c r="E65" t="s">
        <v>391</v>
      </c>
      <c r="F65" t="s">
        <v>392</v>
      </c>
      <c r="G65" t="s">
        <v>25</v>
      </c>
      <c r="H65" t="s">
        <v>263</v>
      </c>
      <c r="I65">
        <v>5</v>
      </c>
      <c r="J65">
        <v>107.11</v>
      </c>
      <c r="K65">
        <v>0.05</v>
      </c>
      <c r="L65">
        <v>25.44</v>
      </c>
      <c r="M65">
        <v>12.92</v>
      </c>
      <c r="N65">
        <v>547.13</v>
      </c>
      <c r="O65" t="s">
        <v>80</v>
      </c>
      <c r="P65" t="s">
        <v>28</v>
      </c>
      <c r="Q65" t="s">
        <v>89</v>
      </c>
      <c r="R65" t="s">
        <v>90</v>
      </c>
      <c r="S65" t="s">
        <v>43</v>
      </c>
      <c r="T65" t="s">
        <v>406</v>
      </c>
    </row>
    <row r="66" spans="1:20" x14ac:dyDescent="0.3">
      <c r="A66" t="s">
        <v>407</v>
      </c>
      <c r="B66" s="1">
        <v>44431</v>
      </c>
      <c r="C66" t="s">
        <v>408</v>
      </c>
      <c r="D66" t="s">
        <v>86</v>
      </c>
      <c r="E66" t="s">
        <v>172</v>
      </c>
      <c r="F66" t="s">
        <v>173</v>
      </c>
      <c r="G66" t="s">
        <v>98</v>
      </c>
      <c r="H66" t="s">
        <v>58</v>
      </c>
      <c r="I66">
        <v>5</v>
      </c>
      <c r="J66">
        <v>417.28</v>
      </c>
      <c r="K66">
        <v>0.15</v>
      </c>
      <c r="L66">
        <v>88.67</v>
      </c>
      <c r="M66">
        <v>9.65</v>
      </c>
      <c r="N66">
        <v>1871.76</v>
      </c>
      <c r="O66" t="s">
        <v>40</v>
      </c>
      <c r="P66" t="s">
        <v>181</v>
      </c>
      <c r="Q66" t="s">
        <v>81</v>
      </c>
      <c r="R66" t="s">
        <v>82</v>
      </c>
      <c r="S66" t="s">
        <v>31</v>
      </c>
      <c r="T66" t="s">
        <v>409</v>
      </c>
    </row>
    <row r="67" spans="1:20" x14ac:dyDescent="0.3">
      <c r="A67" t="s">
        <v>410</v>
      </c>
      <c r="B67" s="1">
        <v>44146</v>
      </c>
      <c r="C67" t="s">
        <v>411</v>
      </c>
      <c r="D67" t="s">
        <v>347</v>
      </c>
      <c r="E67" t="s">
        <v>391</v>
      </c>
      <c r="F67" t="s">
        <v>392</v>
      </c>
      <c r="G67" t="s">
        <v>25</v>
      </c>
      <c r="H67" t="s">
        <v>256</v>
      </c>
      <c r="I67">
        <v>2</v>
      </c>
      <c r="J67">
        <v>559.03</v>
      </c>
      <c r="K67">
        <v>0.1</v>
      </c>
      <c r="L67">
        <v>50.31</v>
      </c>
      <c r="M67">
        <v>11.62</v>
      </c>
      <c r="N67">
        <v>1068.18</v>
      </c>
      <c r="O67" t="s">
        <v>40</v>
      </c>
      <c r="P67" t="s">
        <v>28</v>
      </c>
      <c r="Q67" t="s">
        <v>154</v>
      </c>
      <c r="R67" t="s">
        <v>155</v>
      </c>
      <c r="S67" t="s">
        <v>43</v>
      </c>
      <c r="T67" t="s">
        <v>412</v>
      </c>
    </row>
    <row r="68" spans="1:20" x14ac:dyDescent="0.3">
      <c r="A68" t="s">
        <v>413</v>
      </c>
      <c r="B68" s="1">
        <v>43844</v>
      </c>
      <c r="C68" t="s">
        <v>414</v>
      </c>
      <c r="D68" t="s">
        <v>171</v>
      </c>
      <c r="E68" t="s">
        <v>121</v>
      </c>
      <c r="F68" t="s">
        <v>122</v>
      </c>
      <c r="G68" t="s">
        <v>38</v>
      </c>
      <c r="H68" t="s">
        <v>26</v>
      </c>
      <c r="I68">
        <v>4</v>
      </c>
      <c r="J68">
        <v>203.84</v>
      </c>
      <c r="K68">
        <v>0.1</v>
      </c>
      <c r="L68">
        <v>36.69</v>
      </c>
      <c r="M68">
        <v>13.68</v>
      </c>
      <c r="N68">
        <v>784.19</v>
      </c>
      <c r="O68" t="s">
        <v>153</v>
      </c>
      <c r="P68" t="s">
        <v>28</v>
      </c>
      <c r="Q68" t="s">
        <v>60</v>
      </c>
      <c r="R68" t="s">
        <v>61</v>
      </c>
      <c r="S68" t="s">
        <v>31</v>
      </c>
      <c r="T68" t="s">
        <v>415</v>
      </c>
    </row>
    <row r="69" spans="1:20" x14ac:dyDescent="0.3">
      <c r="A69" t="s">
        <v>416</v>
      </c>
      <c r="B69" s="1">
        <v>44072</v>
      </c>
      <c r="C69" t="s">
        <v>417</v>
      </c>
      <c r="D69" t="s">
        <v>418</v>
      </c>
      <c r="E69" t="s">
        <v>215</v>
      </c>
      <c r="F69" t="s">
        <v>216</v>
      </c>
      <c r="G69" t="s">
        <v>50</v>
      </c>
      <c r="H69" t="s">
        <v>58</v>
      </c>
      <c r="I69">
        <v>4</v>
      </c>
      <c r="J69">
        <v>129.9</v>
      </c>
      <c r="K69">
        <v>0.05</v>
      </c>
      <c r="L69">
        <v>59.23</v>
      </c>
      <c r="M69">
        <v>9.1300000000000008</v>
      </c>
      <c r="N69">
        <v>561.98</v>
      </c>
      <c r="O69" t="s">
        <v>153</v>
      </c>
      <c r="P69" t="s">
        <v>28</v>
      </c>
      <c r="Q69" t="s">
        <v>154</v>
      </c>
      <c r="R69" t="s">
        <v>155</v>
      </c>
      <c r="S69" t="s">
        <v>43</v>
      </c>
      <c r="T69" t="s">
        <v>419</v>
      </c>
    </row>
    <row r="70" spans="1:20" x14ac:dyDescent="0.3">
      <c r="A70" t="s">
        <v>420</v>
      </c>
      <c r="B70" s="1">
        <v>44607</v>
      </c>
      <c r="C70" t="s">
        <v>421</v>
      </c>
      <c r="D70" t="s">
        <v>291</v>
      </c>
      <c r="E70" t="s">
        <v>352</v>
      </c>
      <c r="F70" t="s">
        <v>353</v>
      </c>
      <c r="G70" t="s">
        <v>25</v>
      </c>
      <c r="H70" t="s">
        <v>354</v>
      </c>
      <c r="I70">
        <v>5</v>
      </c>
      <c r="J70">
        <v>105.16</v>
      </c>
      <c r="K70">
        <v>0</v>
      </c>
      <c r="L70">
        <v>26.29</v>
      </c>
      <c r="M70">
        <v>13.29</v>
      </c>
      <c r="N70">
        <v>565.38</v>
      </c>
      <c r="O70" t="s">
        <v>80</v>
      </c>
      <c r="P70" t="s">
        <v>28</v>
      </c>
      <c r="Q70" t="s">
        <v>221</v>
      </c>
      <c r="R70" t="s">
        <v>222</v>
      </c>
      <c r="S70" t="s">
        <v>43</v>
      </c>
      <c r="T70" t="s">
        <v>422</v>
      </c>
    </row>
    <row r="71" spans="1:20" x14ac:dyDescent="0.3">
      <c r="A71" t="s">
        <v>423</v>
      </c>
      <c r="B71" s="1">
        <v>45200</v>
      </c>
      <c r="C71" t="s">
        <v>424</v>
      </c>
      <c r="D71" t="s">
        <v>425</v>
      </c>
      <c r="E71" t="s">
        <v>56</v>
      </c>
      <c r="F71" t="s">
        <v>57</v>
      </c>
      <c r="G71" t="s">
        <v>180</v>
      </c>
      <c r="H71" t="s">
        <v>26</v>
      </c>
      <c r="I71">
        <v>1</v>
      </c>
      <c r="J71">
        <v>82.79</v>
      </c>
      <c r="K71">
        <v>0</v>
      </c>
      <c r="L71">
        <v>6.62</v>
      </c>
      <c r="M71">
        <v>8.76</v>
      </c>
      <c r="N71">
        <v>98.17</v>
      </c>
      <c r="O71" t="s">
        <v>27</v>
      </c>
      <c r="P71" t="s">
        <v>28</v>
      </c>
      <c r="Q71" t="s">
        <v>100</v>
      </c>
      <c r="R71" t="s">
        <v>101</v>
      </c>
      <c r="S71" t="s">
        <v>43</v>
      </c>
      <c r="T71" t="s">
        <v>426</v>
      </c>
    </row>
    <row r="72" spans="1:20" x14ac:dyDescent="0.3">
      <c r="A72" t="s">
        <v>427</v>
      </c>
      <c r="B72" s="1">
        <v>44395</v>
      </c>
      <c r="C72" t="s">
        <v>428</v>
      </c>
      <c r="D72" t="s">
        <v>429</v>
      </c>
      <c r="E72" t="s">
        <v>302</v>
      </c>
      <c r="F72" t="s">
        <v>303</v>
      </c>
      <c r="G72" t="s">
        <v>108</v>
      </c>
      <c r="H72" t="s">
        <v>58</v>
      </c>
      <c r="I72">
        <v>4</v>
      </c>
      <c r="J72">
        <v>433.7</v>
      </c>
      <c r="K72">
        <v>0.15</v>
      </c>
      <c r="L72">
        <v>176.95</v>
      </c>
      <c r="M72">
        <v>10.58</v>
      </c>
      <c r="N72">
        <v>1662.11</v>
      </c>
      <c r="O72" t="s">
        <v>27</v>
      </c>
      <c r="P72" t="s">
        <v>28</v>
      </c>
      <c r="Q72" t="s">
        <v>339</v>
      </c>
      <c r="R72" t="s">
        <v>82</v>
      </c>
      <c r="S72" t="s">
        <v>43</v>
      </c>
      <c r="T72" t="s">
        <v>430</v>
      </c>
    </row>
    <row r="73" spans="1:20" x14ac:dyDescent="0.3">
      <c r="A73" t="s">
        <v>431</v>
      </c>
      <c r="B73" s="1">
        <v>44728</v>
      </c>
      <c r="C73" t="s">
        <v>432</v>
      </c>
      <c r="D73" t="s">
        <v>433</v>
      </c>
      <c r="E73" t="s">
        <v>434</v>
      </c>
      <c r="F73" t="s">
        <v>435</v>
      </c>
      <c r="G73" t="s">
        <v>38</v>
      </c>
      <c r="H73" t="s">
        <v>58</v>
      </c>
      <c r="I73">
        <v>3</v>
      </c>
      <c r="J73">
        <v>137.1</v>
      </c>
      <c r="K73">
        <v>0</v>
      </c>
      <c r="L73">
        <v>32.9</v>
      </c>
      <c r="M73">
        <v>12.88</v>
      </c>
      <c r="N73">
        <v>457.08</v>
      </c>
      <c r="O73" t="s">
        <v>40</v>
      </c>
      <c r="P73" t="s">
        <v>132</v>
      </c>
      <c r="Q73" t="s">
        <v>124</v>
      </c>
      <c r="R73" t="s">
        <v>125</v>
      </c>
      <c r="S73" t="s">
        <v>43</v>
      </c>
      <c r="T73" t="s">
        <v>436</v>
      </c>
    </row>
    <row r="74" spans="1:20" x14ac:dyDescent="0.3">
      <c r="A74" t="s">
        <v>437</v>
      </c>
      <c r="B74" s="1">
        <v>45194</v>
      </c>
      <c r="C74" t="s">
        <v>438</v>
      </c>
      <c r="D74" t="s">
        <v>439</v>
      </c>
      <c r="E74" t="s">
        <v>386</v>
      </c>
      <c r="F74" t="s">
        <v>387</v>
      </c>
      <c r="G74" t="s">
        <v>98</v>
      </c>
      <c r="H74" t="s">
        <v>263</v>
      </c>
      <c r="I74">
        <v>5</v>
      </c>
      <c r="J74">
        <v>582.66</v>
      </c>
      <c r="K74">
        <v>0</v>
      </c>
      <c r="L74">
        <v>233.06</v>
      </c>
      <c r="M74">
        <v>14.07</v>
      </c>
      <c r="N74">
        <v>3160.43</v>
      </c>
      <c r="O74" t="s">
        <v>80</v>
      </c>
      <c r="P74" t="s">
        <v>132</v>
      </c>
      <c r="Q74" t="s">
        <v>210</v>
      </c>
      <c r="R74" t="s">
        <v>42</v>
      </c>
      <c r="S74" t="s">
        <v>43</v>
      </c>
      <c r="T74" t="s">
        <v>440</v>
      </c>
    </row>
    <row r="75" spans="1:20" x14ac:dyDescent="0.3">
      <c r="A75" t="s">
        <v>441</v>
      </c>
      <c r="B75" s="1">
        <v>43922</v>
      </c>
      <c r="C75" t="s">
        <v>442</v>
      </c>
      <c r="D75" t="s">
        <v>443</v>
      </c>
      <c r="E75" t="s">
        <v>172</v>
      </c>
      <c r="F75" t="s">
        <v>173</v>
      </c>
      <c r="G75" t="s">
        <v>38</v>
      </c>
      <c r="H75" t="s">
        <v>263</v>
      </c>
      <c r="I75">
        <v>2</v>
      </c>
      <c r="J75">
        <v>522.55999999999995</v>
      </c>
      <c r="K75">
        <v>0</v>
      </c>
      <c r="L75">
        <v>83.61</v>
      </c>
      <c r="M75">
        <v>0.43</v>
      </c>
      <c r="N75">
        <v>1129.1600000000001</v>
      </c>
      <c r="O75" t="s">
        <v>69</v>
      </c>
      <c r="P75" t="s">
        <v>132</v>
      </c>
      <c r="Q75" t="s">
        <v>154</v>
      </c>
      <c r="R75" t="s">
        <v>155</v>
      </c>
      <c r="S75" t="s">
        <v>43</v>
      </c>
      <c r="T75" t="s">
        <v>444</v>
      </c>
    </row>
    <row r="76" spans="1:20" x14ac:dyDescent="0.3">
      <c r="A76" t="s">
        <v>445</v>
      </c>
      <c r="B76" s="1">
        <v>45221</v>
      </c>
      <c r="C76" t="s">
        <v>446</v>
      </c>
      <c r="D76" t="s">
        <v>447</v>
      </c>
      <c r="E76" t="s">
        <v>196</v>
      </c>
      <c r="F76" t="s">
        <v>197</v>
      </c>
      <c r="G76" t="s">
        <v>108</v>
      </c>
      <c r="H76" t="s">
        <v>354</v>
      </c>
      <c r="I76">
        <v>2</v>
      </c>
      <c r="J76">
        <v>354.18</v>
      </c>
      <c r="K76">
        <v>0.05</v>
      </c>
      <c r="L76">
        <v>80.75</v>
      </c>
      <c r="M76">
        <v>2.4900000000000002</v>
      </c>
      <c r="N76">
        <v>756.18</v>
      </c>
      <c r="O76" t="s">
        <v>69</v>
      </c>
      <c r="P76" t="s">
        <v>132</v>
      </c>
      <c r="Q76" t="s">
        <v>116</v>
      </c>
      <c r="R76" t="s">
        <v>42</v>
      </c>
      <c r="S76" t="s">
        <v>43</v>
      </c>
      <c r="T76" t="s">
        <v>448</v>
      </c>
    </row>
    <row r="77" spans="1:20" x14ac:dyDescent="0.3">
      <c r="A77" t="s">
        <v>449</v>
      </c>
      <c r="B77" s="1">
        <v>44786</v>
      </c>
      <c r="C77" t="s">
        <v>450</v>
      </c>
      <c r="D77" t="s">
        <v>451</v>
      </c>
      <c r="E77" t="s">
        <v>196</v>
      </c>
      <c r="F77" t="s">
        <v>197</v>
      </c>
      <c r="G77" t="s">
        <v>50</v>
      </c>
      <c r="H77" t="s">
        <v>263</v>
      </c>
      <c r="I77">
        <v>4</v>
      </c>
      <c r="J77">
        <v>437.47</v>
      </c>
      <c r="K77">
        <v>0</v>
      </c>
      <c r="L77">
        <v>314.98</v>
      </c>
      <c r="M77">
        <v>8.82</v>
      </c>
      <c r="N77">
        <v>2073.6799999999998</v>
      </c>
      <c r="O77" t="s">
        <v>69</v>
      </c>
      <c r="P77" t="s">
        <v>132</v>
      </c>
      <c r="Q77" t="s">
        <v>166</v>
      </c>
      <c r="R77" t="s">
        <v>167</v>
      </c>
      <c r="S77" t="s">
        <v>72</v>
      </c>
      <c r="T77" t="s">
        <v>452</v>
      </c>
    </row>
    <row r="78" spans="1:20" x14ac:dyDescent="0.3">
      <c r="A78" t="s">
        <v>453</v>
      </c>
      <c r="B78" s="1">
        <v>45309</v>
      </c>
      <c r="C78" t="s">
        <v>454</v>
      </c>
      <c r="D78" t="s">
        <v>455</v>
      </c>
      <c r="E78" t="s">
        <v>456</v>
      </c>
      <c r="F78" t="s">
        <v>457</v>
      </c>
      <c r="G78" t="s">
        <v>98</v>
      </c>
      <c r="H78" t="s">
        <v>354</v>
      </c>
      <c r="I78">
        <v>1</v>
      </c>
      <c r="J78">
        <v>392.71</v>
      </c>
      <c r="K78">
        <v>0.1</v>
      </c>
      <c r="L78">
        <v>42.41</v>
      </c>
      <c r="M78">
        <v>7.82</v>
      </c>
      <c r="N78">
        <v>403.67</v>
      </c>
      <c r="O78" t="s">
        <v>27</v>
      </c>
      <c r="P78" t="s">
        <v>28</v>
      </c>
      <c r="Q78" t="s">
        <v>339</v>
      </c>
      <c r="R78" t="s">
        <v>82</v>
      </c>
      <c r="S78" t="s">
        <v>43</v>
      </c>
      <c r="T78" t="s">
        <v>458</v>
      </c>
    </row>
    <row r="79" spans="1:20" x14ac:dyDescent="0.3">
      <c r="A79" t="s">
        <v>459</v>
      </c>
      <c r="B79" s="1">
        <v>45282</v>
      </c>
      <c r="C79" t="s">
        <v>460</v>
      </c>
      <c r="D79" t="s">
        <v>461</v>
      </c>
      <c r="E79" t="s">
        <v>434</v>
      </c>
      <c r="F79" t="s">
        <v>435</v>
      </c>
      <c r="G79" t="s">
        <v>180</v>
      </c>
      <c r="H79" t="s">
        <v>79</v>
      </c>
      <c r="I79">
        <v>1</v>
      </c>
      <c r="J79">
        <v>592.91</v>
      </c>
      <c r="K79">
        <v>0.05</v>
      </c>
      <c r="L79">
        <v>28.16</v>
      </c>
      <c r="M79">
        <v>6.83</v>
      </c>
      <c r="N79">
        <v>598.25</v>
      </c>
      <c r="O79" t="s">
        <v>59</v>
      </c>
      <c r="P79" t="s">
        <v>28</v>
      </c>
      <c r="Q79" t="s">
        <v>210</v>
      </c>
      <c r="R79" t="s">
        <v>42</v>
      </c>
      <c r="S79" t="s">
        <v>43</v>
      </c>
      <c r="T79" t="s">
        <v>462</v>
      </c>
    </row>
    <row r="80" spans="1:20" x14ac:dyDescent="0.3">
      <c r="A80" t="s">
        <v>463</v>
      </c>
      <c r="B80" s="1">
        <v>44339</v>
      </c>
      <c r="C80" t="s">
        <v>464</v>
      </c>
      <c r="D80" t="s">
        <v>465</v>
      </c>
      <c r="E80" t="s">
        <v>319</v>
      </c>
      <c r="F80" t="s">
        <v>320</v>
      </c>
      <c r="G80" t="s">
        <v>38</v>
      </c>
      <c r="H80" t="s">
        <v>263</v>
      </c>
      <c r="I80">
        <v>2</v>
      </c>
      <c r="J80">
        <v>76.97</v>
      </c>
      <c r="K80">
        <v>0</v>
      </c>
      <c r="L80">
        <v>7.7</v>
      </c>
      <c r="M80">
        <v>4.91</v>
      </c>
      <c r="N80">
        <v>166.55</v>
      </c>
      <c r="O80" t="s">
        <v>27</v>
      </c>
      <c r="P80" t="s">
        <v>28</v>
      </c>
      <c r="Q80" t="s">
        <v>89</v>
      </c>
      <c r="R80" t="s">
        <v>90</v>
      </c>
      <c r="S80" t="s">
        <v>91</v>
      </c>
      <c r="T80" t="s">
        <v>466</v>
      </c>
    </row>
    <row r="81" spans="1:20" x14ac:dyDescent="0.3">
      <c r="A81" t="s">
        <v>467</v>
      </c>
      <c r="B81" s="1">
        <v>44606</v>
      </c>
      <c r="C81" t="s">
        <v>468</v>
      </c>
      <c r="D81" t="s">
        <v>187</v>
      </c>
      <c r="E81" t="s">
        <v>469</v>
      </c>
      <c r="F81" t="s">
        <v>470</v>
      </c>
      <c r="G81" t="s">
        <v>180</v>
      </c>
      <c r="H81" t="s">
        <v>263</v>
      </c>
      <c r="I81">
        <v>1</v>
      </c>
      <c r="J81">
        <v>534.30999999999995</v>
      </c>
      <c r="K81">
        <v>0.1</v>
      </c>
      <c r="L81">
        <v>57.71</v>
      </c>
      <c r="M81">
        <v>14.47</v>
      </c>
      <c r="N81">
        <v>553.05999999999995</v>
      </c>
      <c r="O81" t="s">
        <v>40</v>
      </c>
      <c r="P81" t="s">
        <v>132</v>
      </c>
      <c r="Q81" t="s">
        <v>228</v>
      </c>
      <c r="R81" t="s">
        <v>82</v>
      </c>
      <c r="S81" t="s">
        <v>31</v>
      </c>
      <c r="T81" t="s">
        <v>471</v>
      </c>
    </row>
    <row r="82" spans="1:20" x14ac:dyDescent="0.3">
      <c r="A82" t="s">
        <v>472</v>
      </c>
      <c r="B82" s="1">
        <v>43865</v>
      </c>
      <c r="C82" t="s">
        <v>473</v>
      </c>
      <c r="D82" t="s">
        <v>474</v>
      </c>
      <c r="E82" t="s">
        <v>196</v>
      </c>
      <c r="F82" t="s">
        <v>197</v>
      </c>
      <c r="G82" t="s">
        <v>98</v>
      </c>
      <c r="H82" t="s">
        <v>26</v>
      </c>
      <c r="I82">
        <v>2</v>
      </c>
      <c r="J82">
        <v>402.77</v>
      </c>
      <c r="K82">
        <v>0.05</v>
      </c>
      <c r="L82">
        <v>38.26</v>
      </c>
      <c r="M82">
        <v>13.08</v>
      </c>
      <c r="N82">
        <v>816.6</v>
      </c>
      <c r="O82" t="s">
        <v>80</v>
      </c>
      <c r="P82" t="s">
        <v>28</v>
      </c>
      <c r="Q82" t="s">
        <v>51</v>
      </c>
      <c r="R82" t="s">
        <v>42</v>
      </c>
      <c r="S82" t="s">
        <v>31</v>
      </c>
      <c r="T82" t="s">
        <v>475</v>
      </c>
    </row>
    <row r="83" spans="1:20" x14ac:dyDescent="0.3">
      <c r="A83" t="s">
        <v>476</v>
      </c>
      <c r="B83" s="1">
        <v>44036</v>
      </c>
      <c r="C83" t="s">
        <v>477</v>
      </c>
      <c r="D83" t="s">
        <v>239</v>
      </c>
      <c r="E83" t="s">
        <v>87</v>
      </c>
      <c r="F83" t="s">
        <v>88</v>
      </c>
      <c r="G83" t="s">
        <v>38</v>
      </c>
      <c r="H83" t="s">
        <v>79</v>
      </c>
      <c r="I83">
        <v>3</v>
      </c>
      <c r="J83">
        <v>335.1</v>
      </c>
      <c r="K83">
        <v>0.1</v>
      </c>
      <c r="L83">
        <v>72.38</v>
      </c>
      <c r="M83">
        <v>4.24</v>
      </c>
      <c r="N83">
        <v>981.39</v>
      </c>
      <c r="O83" t="s">
        <v>40</v>
      </c>
      <c r="P83" t="s">
        <v>132</v>
      </c>
      <c r="Q83" t="s">
        <v>89</v>
      </c>
      <c r="R83" t="s">
        <v>90</v>
      </c>
      <c r="S83" t="s">
        <v>43</v>
      </c>
      <c r="T83" t="s">
        <v>478</v>
      </c>
    </row>
    <row r="84" spans="1:20" x14ac:dyDescent="0.3">
      <c r="A84" t="s">
        <v>479</v>
      </c>
      <c r="B84" s="1">
        <v>44935</v>
      </c>
      <c r="C84" t="s">
        <v>480</v>
      </c>
      <c r="D84" t="s">
        <v>481</v>
      </c>
      <c r="E84" t="s">
        <v>380</v>
      </c>
      <c r="F84" t="s">
        <v>381</v>
      </c>
      <c r="G84" t="s">
        <v>25</v>
      </c>
      <c r="H84" t="s">
        <v>39</v>
      </c>
      <c r="I84">
        <v>3</v>
      </c>
      <c r="J84">
        <v>258.13</v>
      </c>
      <c r="K84">
        <v>0.05</v>
      </c>
      <c r="L84">
        <v>132.41999999999999</v>
      </c>
      <c r="M84">
        <v>7.69</v>
      </c>
      <c r="N84">
        <v>875.78</v>
      </c>
      <c r="O84" t="s">
        <v>80</v>
      </c>
      <c r="P84" t="s">
        <v>28</v>
      </c>
      <c r="Q84" t="s">
        <v>51</v>
      </c>
      <c r="R84" t="s">
        <v>42</v>
      </c>
      <c r="S84" t="s">
        <v>43</v>
      </c>
      <c r="T84" t="s">
        <v>482</v>
      </c>
    </row>
    <row r="85" spans="1:20" x14ac:dyDescent="0.3">
      <c r="A85" t="s">
        <v>483</v>
      </c>
      <c r="B85" s="1">
        <v>45416</v>
      </c>
      <c r="C85" t="s">
        <v>484</v>
      </c>
      <c r="D85" t="s">
        <v>485</v>
      </c>
      <c r="E85" t="s">
        <v>36</v>
      </c>
      <c r="F85" t="s">
        <v>37</v>
      </c>
      <c r="G85" t="s">
        <v>108</v>
      </c>
      <c r="H85" t="s">
        <v>68</v>
      </c>
      <c r="I85">
        <v>1</v>
      </c>
      <c r="J85">
        <v>594.66999999999996</v>
      </c>
      <c r="K85">
        <v>0.15</v>
      </c>
      <c r="L85">
        <v>40.44</v>
      </c>
      <c r="M85">
        <v>7.22</v>
      </c>
      <c r="N85">
        <v>553.13</v>
      </c>
      <c r="O85" t="s">
        <v>27</v>
      </c>
      <c r="P85" t="s">
        <v>28</v>
      </c>
      <c r="Q85" t="s">
        <v>41</v>
      </c>
      <c r="R85" t="s">
        <v>42</v>
      </c>
      <c r="S85" t="s">
        <v>43</v>
      </c>
      <c r="T85" t="s">
        <v>486</v>
      </c>
    </row>
    <row r="86" spans="1:20" x14ac:dyDescent="0.3">
      <c r="A86" t="s">
        <v>487</v>
      </c>
      <c r="B86" s="1">
        <v>45242</v>
      </c>
      <c r="C86" t="s">
        <v>488</v>
      </c>
      <c r="D86" t="s">
        <v>214</v>
      </c>
      <c r="E86" t="s">
        <v>226</v>
      </c>
      <c r="F86" t="s">
        <v>227</v>
      </c>
      <c r="G86" t="s">
        <v>180</v>
      </c>
      <c r="H86" t="s">
        <v>123</v>
      </c>
      <c r="I86">
        <v>4</v>
      </c>
      <c r="J86">
        <v>494.13</v>
      </c>
      <c r="K86">
        <v>0.05</v>
      </c>
      <c r="L86">
        <v>225.32</v>
      </c>
      <c r="M86">
        <v>7.18</v>
      </c>
      <c r="N86">
        <v>2110.19</v>
      </c>
      <c r="O86" t="s">
        <v>69</v>
      </c>
      <c r="P86" t="s">
        <v>28</v>
      </c>
      <c r="Q86" t="s">
        <v>51</v>
      </c>
      <c r="R86" t="s">
        <v>42</v>
      </c>
      <c r="S86" t="s">
        <v>43</v>
      </c>
      <c r="T86" t="s">
        <v>489</v>
      </c>
    </row>
    <row r="87" spans="1:20" x14ac:dyDescent="0.3">
      <c r="A87" t="s">
        <v>490</v>
      </c>
      <c r="B87" s="1">
        <v>44856</v>
      </c>
      <c r="C87" t="s">
        <v>491</v>
      </c>
      <c r="D87" t="s">
        <v>379</v>
      </c>
      <c r="E87" t="s">
        <v>492</v>
      </c>
      <c r="F87" t="s">
        <v>493</v>
      </c>
      <c r="G87" t="s">
        <v>108</v>
      </c>
      <c r="H87" t="s">
        <v>68</v>
      </c>
      <c r="I87">
        <v>4</v>
      </c>
      <c r="J87">
        <v>15.47</v>
      </c>
      <c r="K87">
        <v>0.05</v>
      </c>
      <c r="L87">
        <v>10.58</v>
      </c>
      <c r="M87">
        <v>3.91</v>
      </c>
      <c r="N87">
        <v>73.28</v>
      </c>
      <c r="O87" t="s">
        <v>69</v>
      </c>
      <c r="P87" t="s">
        <v>132</v>
      </c>
      <c r="Q87" t="s">
        <v>116</v>
      </c>
      <c r="R87" t="s">
        <v>42</v>
      </c>
      <c r="S87" t="s">
        <v>43</v>
      </c>
      <c r="T87" t="s">
        <v>494</v>
      </c>
    </row>
    <row r="88" spans="1:20" x14ac:dyDescent="0.3">
      <c r="A88" t="s">
        <v>495</v>
      </c>
      <c r="B88" s="1">
        <v>44852</v>
      </c>
      <c r="C88" t="s">
        <v>496</v>
      </c>
      <c r="D88" t="s">
        <v>497</v>
      </c>
      <c r="E88" t="s">
        <v>492</v>
      </c>
      <c r="F88" t="s">
        <v>493</v>
      </c>
      <c r="G88" t="s">
        <v>108</v>
      </c>
      <c r="H88" t="s">
        <v>39</v>
      </c>
      <c r="I88">
        <v>4</v>
      </c>
      <c r="J88">
        <v>28.59</v>
      </c>
      <c r="K88">
        <v>0</v>
      </c>
      <c r="L88">
        <v>20.58</v>
      </c>
      <c r="M88">
        <v>13.02</v>
      </c>
      <c r="N88">
        <v>147.96</v>
      </c>
      <c r="O88" t="s">
        <v>69</v>
      </c>
      <c r="P88" t="s">
        <v>28</v>
      </c>
      <c r="Q88" t="s">
        <v>81</v>
      </c>
      <c r="R88" t="s">
        <v>82</v>
      </c>
      <c r="S88" t="s">
        <v>43</v>
      </c>
      <c r="T88" t="s">
        <v>498</v>
      </c>
    </row>
    <row r="89" spans="1:20" x14ac:dyDescent="0.3">
      <c r="A89" t="s">
        <v>499</v>
      </c>
      <c r="B89" s="1">
        <v>45244</v>
      </c>
      <c r="C89" t="s">
        <v>500</v>
      </c>
      <c r="D89" t="s">
        <v>501</v>
      </c>
      <c r="E89" t="s">
        <v>77</v>
      </c>
      <c r="F89" t="s">
        <v>78</v>
      </c>
      <c r="G89" t="s">
        <v>180</v>
      </c>
      <c r="H89" t="s">
        <v>123</v>
      </c>
      <c r="I89">
        <v>5</v>
      </c>
      <c r="J89">
        <v>456.58</v>
      </c>
      <c r="K89">
        <v>0.15</v>
      </c>
      <c r="L89">
        <v>155.24</v>
      </c>
      <c r="M89">
        <v>7.48</v>
      </c>
      <c r="N89">
        <v>2103.1799999999998</v>
      </c>
      <c r="O89" t="s">
        <v>40</v>
      </c>
      <c r="P89" t="s">
        <v>28</v>
      </c>
      <c r="Q89" t="s">
        <v>166</v>
      </c>
      <c r="R89" t="s">
        <v>167</v>
      </c>
      <c r="S89" t="s">
        <v>72</v>
      </c>
      <c r="T89" t="s">
        <v>502</v>
      </c>
    </row>
    <row r="90" spans="1:20" x14ac:dyDescent="0.3">
      <c r="A90" t="s">
        <v>503</v>
      </c>
      <c r="B90" s="1">
        <v>44396</v>
      </c>
      <c r="C90" t="s">
        <v>504</v>
      </c>
      <c r="D90" t="s">
        <v>105</v>
      </c>
      <c r="E90" t="s">
        <v>66</v>
      </c>
      <c r="F90" t="s">
        <v>67</v>
      </c>
      <c r="G90" t="s">
        <v>25</v>
      </c>
      <c r="H90" t="s">
        <v>58</v>
      </c>
      <c r="I90">
        <v>3</v>
      </c>
      <c r="J90">
        <v>324.31</v>
      </c>
      <c r="K90">
        <v>0.2</v>
      </c>
      <c r="L90">
        <v>62.27</v>
      </c>
      <c r="M90">
        <v>4.63</v>
      </c>
      <c r="N90">
        <v>845.24</v>
      </c>
      <c r="O90" t="s">
        <v>27</v>
      </c>
      <c r="P90" t="s">
        <v>28</v>
      </c>
      <c r="Q90" t="s">
        <v>100</v>
      </c>
      <c r="R90" t="s">
        <v>101</v>
      </c>
      <c r="S90" t="s">
        <v>43</v>
      </c>
      <c r="T90" t="s">
        <v>505</v>
      </c>
    </row>
    <row r="91" spans="1:20" x14ac:dyDescent="0.3">
      <c r="A91" t="s">
        <v>506</v>
      </c>
      <c r="B91" s="1">
        <v>44960</v>
      </c>
      <c r="C91" t="s">
        <v>507</v>
      </c>
      <c r="D91" t="s">
        <v>129</v>
      </c>
      <c r="E91" t="s">
        <v>286</v>
      </c>
      <c r="F91" t="s">
        <v>287</v>
      </c>
      <c r="G91" t="s">
        <v>25</v>
      </c>
      <c r="H91" t="s">
        <v>79</v>
      </c>
      <c r="I91">
        <v>5</v>
      </c>
      <c r="J91">
        <v>342.26</v>
      </c>
      <c r="K91">
        <v>0.2</v>
      </c>
      <c r="L91">
        <v>109.52</v>
      </c>
      <c r="M91">
        <v>7.29</v>
      </c>
      <c r="N91">
        <v>1485.85</v>
      </c>
      <c r="O91" t="s">
        <v>69</v>
      </c>
      <c r="P91" t="s">
        <v>99</v>
      </c>
      <c r="Q91" t="s">
        <v>41</v>
      </c>
      <c r="R91" t="s">
        <v>42</v>
      </c>
      <c r="S91" t="s">
        <v>43</v>
      </c>
      <c r="T91" t="s">
        <v>508</v>
      </c>
    </row>
    <row r="92" spans="1:20" x14ac:dyDescent="0.3">
      <c r="A92" t="s">
        <v>509</v>
      </c>
      <c r="B92" s="1">
        <v>45626</v>
      </c>
      <c r="C92" t="s">
        <v>510</v>
      </c>
      <c r="D92" t="s">
        <v>285</v>
      </c>
      <c r="E92" t="s">
        <v>380</v>
      </c>
      <c r="F92" t="s">
        <v>381</v>
      </c>
      <c r="G92" t="s">
        <v>50</v>
      </c>
      <c r="H92" t="s">
        <v>354</v>
      </c>
      <c r="I92">
        <v>5</v>
      </c>
      <c r="J92">
        <v>201.16</v>
      </c>
      <c r="K92">
        <v>0.2</v>
      </c>
      <c r="L92">
        <v>64.37</v>
      </c>
      <c r="M92">
        <v>9.3800000000000008</v>
      </c>
      <c r="N92">
        <v>878.39</v>
      </c>
      <c r="O92" t="s">
        <v>80</v>
      </c>
      <c r="P92" t="s">
        <v>28</v>
      </c>
      <c r="Q92" t="s">
        <v>100</v>
      </c>
      <c r="R92" t="s">
        <v>101</v>
      </c>
      <c r="S92" t="s">
        <v>43</v>
      </c>
      <c r="T92" t="s">
        <v>511</v>
      </c>
    </row>
    <row r="93" spans="1:20" x14ac:dyDescent="0.3">
      <c r="A93" t="s">
        <v>512</v>
      </c>
      <c r="B93" s="1">
        <v>45331</v>
      </c>
      <c r="C93" t="s">
        <v>513</v>
      </c>
      <c r="D93" t="s">
        <v>418</v>
      </c>
      <c r="E93" t="s">
        <v>244</v>
      </c>
      <c r="F93" t="s">
        <v>245</v>
      </c>
      <c r="G93" t="s">
        <v>108</v>
      </c>
      <c r="H93" t="s">
        <v>79</v>
      </c>
      <c r="I93">
        <v>4</v>
      </c>
      <c r="J93">
        <v>555.99</v>
      </c>
      <c r="K93">
        <v>0.05</v>
      </c>
      <c r="L93">
        <v>253.53</v>
      </c>
      <c r="M93">
        <v>1.26</v>
      </c>
      <c r="N93">
        <v>2367.5500000000002</v>
      </c>
      <c r="O93" t="s">
        <v>153</v>
      </c>
      <c r="P93" t="s">
        <v>70</v>
      </c>
      <c r="Q93" t="s">
        <v>210</v>
      </c>
      <c r="R93" t="s">
        <v>42</v>
      </c>
      <c r="S93" t="s">
        <v>43</v>
      </c>
      <c r="T93" t="s">
        <v>412</v>
      </c>
    </row>
    <row r="94" spans="1:20" x14ac:dyDescent="0.3">
      <c r="A94" t="s">
        <v>514</v>
      </c>
      <c r="B94" s="1">
        <v>44533</v>
      </c>
      <c r="C94" t="s">
        <v>515</v>
      </c>
      <c r="D94" t="s">
        <v>516</v>
      </c>
      <c r="E94" t="s">
        <v>302</v>
      </c>
      <c r="F94" t="s">
        <v>303</v>
      </c>
      <c r="G94" t="s">
        <v>38</v>
      </c>
      <c r="H94" t="s">
        <v>39</v>
      </c>
      <c r="I94">
        <v>5</v>
      </c>
      <c r="J94">
        <v>138.56</v>
      </c>
      <c r="K94">
        <v>0.2</v>
      </c>
      <c r="L94">
        <v>27.71</v>
      </c>
      <c r="M94">
        <v>7.71</v>
      </c>
      <c r="N94">
        <v>589.66</v>
      </c>
      <c r="O94" t="s">
        <v>80</v>
      </c>
      <c r="P94" t="s">
        <v>132</v>
      </c>
      <c r="Q94" t="s">
        <v>228</v>
      </c>
      <c r="R94" t="s">
        <v>82</v>
      </c>
      <c r="S94" t="s">
        <v>43</v>
      </c>
      <c r="T94" t="s">
        <v>517</v>
      </c>
    </row>
    <row r="95" spans="1:20" x14ac:dyDescent="0.3">
      <c r="A95" t="s">
        <v>518</v>
      </c>
      <c r="B95" s="1">
        <v>44232</v>
      </c>
      <c r="C95" t="s">
        <v>519</v>
      </c>
      <c r="D95" t="s">
        <v>520</v>
      </c>
      <c r="E95" t="s">
        <v>521</v>
      </c>
      <c r="F95" t="s">
        <v>522</v>
      </c>
      <c r="G95" t="s">
        <v>50</v>
      </c>
      <c r="H95" t="s">
        <v>123</v>
      </c>
      <c r="I95">
        <v>4</v>
      </c>
      <c r="J95">
        <v>409.78</v>
      </c>
      <c r="K95">
        <v>0</v>
      </c>
      <c r="L95">
        <v>295.04000000000002</v>
      </c>
      <c r="M95">
        <v>14.29</v>
      </c>
      <c r="N95">
        <v>1948.45</v>
      </c>
      <c r="O95" t="s">
        <v>80</v>
      </c>
      <c r="P95" t="s">
        <v>132</v>
      </c>
      <c r="Q95" t="s">
        <v>210</v>
      </c>
      <c r="R95" t="s">
        <v>42</v>
      </c>
      <c r="S95" t="s">
        <v>43</v>
      </c>
      <c r="T95" t="s">
        <v>523</v>
      </c>
    </row>
    <row r="96" spans="1:20" x14ac:dyDescent="0.3">
      <c r="A96" t="s">
        <v>524</v>
      </c>
      <c r="B96" s="1">
        <v>44560</v>
      </c>
      <c r="C96" t="s">
        <v>525</v>
      </c>
      <c r="D96" t="s">
        <v>526</v>
      </c>
      <c r="E96" t="s">
        <v>244</v>
      </c>
      <c r="F96" t="s">
        <v>245</v>
      </c>
      <c r="G96" t="s">
        <v>180</v>
      </c>
      <c r="H96" t="s">
        <v>68</v>
      </c>
      <c r="I96">
        <v>4</v>
      </c>
      <c r="J96">
        <v>42.31</v>
      </c>
      <c r="K96">
        <v>0.1</v>
      </c>
      <c r="L96">
        <v>12.19</v>
      </c>
      <c r="M96">
        <v>1.28</v>
      </c>
      <c r="N96">
        <v>165.79</v>
      </c>
      <c r="O96" t="s">
        <v>40</v>
      </c>
      <c r="P96" t="s">
        <v>28</v>
      </c>
      <c r="Q96" t="s">
        <v>89</v>
      </c>
      <c r="R96" t="s">
        <v>90</v>
      </c>
      <c r="S96" t="s">
        <v>43</v>
      </c>
      <c r="T96" t="s">
        <v>527</v>
      </c>
    </row>
    <row r="97" spans="1:20" x14ac:dyDescent="0.3">
      <c r="A97" t="s">
        <v>528</v>
      </c>
      <c r="B97" s="1">
        <v>45410</v>
      </c>
      <c r="C97" t="s">
        <v>529</v>
      </c>
      <c r="D97" t="s">
        <v>249</v>
      </c>
      <c r="E97" t="s">
        <v>530</v>
      </c>
      <c r="F97" t="s">
        <v>531</v>
      </c>
      <c r="G97" t="s">
        <v>180</v>
      </c>
      <c r="H97" t="s">
        <v>354</v>
      </c>
      <c r="I97">
        <v>1</v>
      </c>
      <c r="J97">
        <v>170.88</v>
      </c>
      <c r="K97">
        <v>0.2</v>
      </c>
      <c r="L97">
        <v>16.399999999999999</v>
      </c>
      <c r="M97">
        <v>7.6</v>
      </c>
      <c r="N97">
        <v>160.69999999999999</v>
      </c>
      <c r="O97" t="s">
        <v>69</v>
      </c>
      <c r="P97" t="s">
        <v>28</v>
      </c>
      <c r="Q97" t="s">
        <v>60</v>
      </c>
      <c r="R97" t="s">
        <v>61</v>
      </c>
      <c r="S97" t="s">
        <v>43</v>
      </c>
      <c r="T97" t="s">
        <v>532</v>
      </c>
    </row>
    <row r="98" spans="1:20" x14ac:dyDescent="0.3">
      <c r="A98" t="s">
        <v>533</v>
      </c>
      <c r="B98" s="1">
        <v>43992</v>
      </c>
      <c r="C98" t="s">
        <v>534</v>
      </c>
      <c r="D98" t="s">
        <v>301</v>
      </c>
      <c r="E98" t="s">
        <v>521</v>
      </c>
      <c r="F98" t="s">
        <v>522</v>
      </c>
      <c r="G98" t="s">
        <v>25</v>
      </c>
      <c r="H98" t="s">
        <v>354</v>
      </c>
      <c r="I98">
        <v>3</v>
      </c>
      <c r="J98">
        <v>548.16999999999996</v>
      </c>
      <c r="K98">
        <v>0.05</v>
      </c>
      <c r="L98">
        <v>0</v>
      </c>
      <c r="M98">
        <v>2.63</v>
      </c>
      <c r="N98">
        <v>1564.91</v>
      </c>
      <c r="O98" t="s">
        <v>80</v>
      </c>
      <c r="P98" t="s">
        <v>28</v>
      </c>
      <c r="Q98" t="s">
        <v>41</v>
      </c>
      <c r="R98" t="s">
        <v>42</v>
      </c>
      <c r="S98" t="s">
        <v>43</v>
      </c>
      <c r="T98" t="s">
        <v>535</v>
      </c>
    </row>
    <row r="99" spans="1:20" x14ac:dyDescent="0.3">
      <c r="A99" t="s">
        <v>536</v>
      </c>
      <c r="B99" s="1">
        <v>44032</v>
      </c>
      <c r="C99" t="s">
        <v>537</v>
      </c>
      <c r="D99" t="s">
        <v>538</v>
      </c>
      <c r="E99" t="s">
        <v>226</v>
      </c>
      <c r="F99" t="s">
        <v>227</v>
      </c>
      <c r="G99" t="s">
        <v>180</v>
      </c>
      <c r="H99" t="s">
        <v>263</v>
      </c>
      <c r="I99">
        <v>4</v>
      </c>
      <c r="J99">
        <v>260.91000000000003</v>
      </c>
      <c r="K99">
        <v>0</v>
      </c>
      <c r="L99">
        <v>83.49</v>
      </c>
      <c r="M99">
        <v>2.86</v>
      </c>
      <c r="N99">
        <v>1129.99</v>
      </c>
      <c r="O99" t="s">
        <v>80</v>
      </c>
      <c r="P99" t="s">
        <v>181</v>
      </c>
      <c r="Q99" t="s">
        <v>228</v>
      </c>
      <c r="R99" t="s">
        <v>82</v>
      </c>
      <c r="S99" t="s">
        <v>43</v>
      </c>
      <c r="T99" t="s">
        <v>539</v>
      </c>
    </row>
    <row r="100" spans="1:20" x14ac:dyDescent="0.3">
      <c r="A100" t="s">
        <v>540</v>
      </c>
      <c r="B100" s="1">
        <v>44826</v>
      </c>
      <c r="C100" t="s">
        <v>541</v>
      </c>
      <c r="D100" t="s">
        <v>542</v>
      </c>
      <c r="E100" t="s">
        <v>96</v>
      </c>
      <c r="F100" t="s">
        <v>97</v>
      </c>
      <c r="G100" t="s">
        <v>25</v>
      </c>
      <c r="H100" t="s">
        <v>263</v>
      </c>
      <c r="I100">
        <v>5</v>
      </c>
      <c r="J100">
        <v>384.56</v>
      </c>
      <c r="K100">
        <v>0.15</v>
      </c>
      <c r="L100">
        <v>130.75</v>
      </c>
      <c r="M100">
        <v>12.62</v>
      </c>
      <c r="N100">
        <v>1777.75</v>
      </c>
      <c r="O100" t="s">
        <v>80</v>
      </c>
      <c r="P100" t="s">
        <v>28</v>
      </c>
      <c r="Q100" t="s">
        <v>89</v>
      </c>
      <c r="R100" t="s">
        <v>90</v>
      </c>
      <c r="S100" t="s">
        <v>43</v>
      </c>
      <c r="T100" t="s">
        <v>543</v>
      </c>
    </row>
    <row r="101" spans="1:20" x14ac:dyDescent="0.3">
      <c r="A101" t="s">
        <v>544</v>
      </c>
      <c r="B101" s="1">
        <v>44100</v>
      </c>
      <c r="C101" t="s">
        <v>545</v>
      </c>
      <c r="D101" t="s">
        <v>307</v>
      </c>
      <c r="E101" t="s">
        <v>77</v>
      </c>
      <c r="F101" t="s">
        <v>78</v>
      </c>
      <c r="G101" t="s">
        <v>180</v>
      </c>
      <c r="H101" t="s">
        <v>109</v>
      </c>
      <c r="I101">
        <v>1</v>
      </c>
      <c r="J101">
        <v>206.2</v>
      </c>
      <c r="K101">
        <v>0</v>
      </c>
      <c r="L101">
        <v>16.5</v>
      </c>
      <c r="M101">
        <v>9.08</v>
      </c>
      <c r="N101">
        <v>231.78</v>
      </c>
      <c r="O101" t="s">
        <v>69</v>
      </c>
      <c r="P101" t="s">
        <v>28</v>
      </c>
      <c r="Q101" t="s">
        <v>182</v>
      </c>
      <c r="R101" t="s">
        <v>183</v>
      </c>
      <c r="S101" t="s">
        <v>31</v>
      </c>
      <c r="T101" t="s">
        <v>546</v>
      </c>
    </row>
    <row r="102" spans="1:20" x14ac:dyDescent="0.3">
      <c r="A102" t="s">
        <v>547</v>
      </c>
      <c r="B102" s="1">
        <v>44646</v>
      </c>
      <c r="C102" t="s">
        <v>548</v>
      </c>
      <c r="D102" t="s">
        <v>549</v>
      </c>
      <c r="E102" t="s">
        <v>137</v>
      </c>
      <c r="F102" t="s">
        <v>138</v>
      </c>
      <c r="G102" t="s">
        <v>108</v>
      </c>
      <c r="H102" t="s">
        <v>79</v>
      </c>
      <c r="I102">
        <v>4</v>
      </c>
      <c r="J102">
        <v>369.47</v>
      </c>
      <c r="K102">
        <v>0.25</v>
      </c>
      <c r="L102">
        <v>199.51</v>
      </c>
      <c r="M102">
        <v>4.5599999999999996</v>
      </c>
      <c r="N102">
        <v>1312.48</v>
      </c>
      <c r="O102" t="s">
        <v>69</v>
      </c>
      <c r="P102" t="s">
        <v>28</v>
      </c>
      <c r="Q102" t="s">
        <v>166</v>
      </c>
      <c r="R102" t="s">
        <v>167</v>
      </c>
      <c r="S102" t="s">
        <v>43</v>
      </c>
      <c r="T102" t="s">
        <v>198</v>
      </c>
    </row>
    <row r="103" spans="1:20" x14ac:dyDescent="0.3">
      <c r="A103" t="s">
        <v>550</v>
      </c>
      <c r="B103" s="1">
        <v>45125</v>
      </c>
      <c r="C103" t="s">
        <v>551</v>
      </c>
      <c r="D103" t="s">
        <v>249</v>
      </c>
      <c r="E103" t="s">
        <v>23</v>
      </c>
      <c r="F103" t="s">
        <v>24</v>
      </c>
      <c r="G103" t="s">
        <v>25</v>
      </c>
      <c r="H103" t="s">
        <v>256</v>
      </c>
      <c r="I103">
        <v>1</v>
      </c>
      <c r="J103">
        <v>29.37</v>
      </c>
      <c r="K103">
        <v>0</v>
      </c>
      <c r="L103">
        <v>1.47</v>
      </c>
      <c r="M103">
        <v>5.45</v>
      </c>
      <c r="N103">
        <v>36.29</v>
      </c>
      <c r="O103" t="s">
        <v>69</v>
      </c>
      <c r="P103" t="s">
        <v>28</v>
      </c>
      <c r="Q103" t="s">
        <v>139</v>
      </c>
      <c r="R103" t="s">
        <v>140</v>
      </c>
      <c r="S103" t="s">
        <v>43</v>
      </c>
      <c r="T103" t="s">
        <v>552</v>
      </c>
    </row>
    <row r="104" spans="1:20" x14ac:dyDescent="0.3">
      <c r="A104" t="s">
        <v>553</v>
      </c>
      <c r="B104" s="1">
        <v>44286</v>
      </c>
      <c r="C104" t="s">
        <v>554</v>
      </c>
      <c r="D104" t="s">
        <v>555</v>
      </c>
      <c r="E104" t="s">
        <v>244</v>
      </c>
      <c r="F104" t="s">
        <v>245</v>
      </c>
      <c r="G104" t="s">
        <v>38</v>
      </c>
      <c r="H104" t="s">
        <v>109</v>
      </c>
      <c r="I104">
        <v>2</v>
      </c>
      <c r="J104">
        <v>159.82</v>
      </c>
      <c r="K104">
        <v>0.05</v>
      </c>
      <c r="L104">
        <v>15.18</v>
      </c>
      <c r="M104">
        <v>2.5499999999999998</v>
      </c>
      <c r="N104">
        <v>321.39</v>
      </c>
      <c r="O104" t="s">
        <v>27</v>
      </c>
      <c r="P104" t="s">
        <v>28</v>
      </c>
      <c r="Q104" t="s">
        <v>188</v>
      </c>
      <c r="R104" t="s">
        <v>82</v>
      </c>
      <c r="S104" t="s">
        <v>43</v>
      </c>
      <c r="T104" t="s">
        <v>556</v>
      </c>
    </row>
    <row r="105" spans="1:20" x14ac:dyDescent="0.3">
      <c r="A105" t="s">
        <v>557</v>
      </c>
      <c r="B105" s="1">
        <v>45316</v>
      </c>
      <c r="C105" t="s">
        <v>558</v>
      </c>
      <c r="D105" t="s">
        <v>214</v>
      </c>
      <c r="E105" t="s">
        <v>106</v>
      </c>
      <c r="F105" t="s">
        <v>107</v>
      </c>
      <c r="G105" t="s">
        <v>98</v>
      </c>
      <c r="H105" t="s">
        <v>263</v>
      </c>
      <c r="I105">
        <v>4</v>
      </c>
      <c r="J105">
        <v>548.39</v>
      </c>
      <c r="K105">
        <v>0</v>
      </c>
      <c r="L105">
        <v>109.68</v>
      </c>
      <c r="M105">
        <v>12.26</v>
      </c>
      <c r="N105">
        <v>2315.5</v>
      </c>
      <c r="O105" t="s">
        <v>80</v>
      </c>
      <c r="P105" t="s">
        <v>28</v>
      </c>
      <c r="Q105" t="s">
        <v>154</v>
      </c>
      <c r="R105" t="s">
        <v>155</v>
      </c>
      <c r="S105" t="s">
        <v>43</v>
      </c>
      <c r="T105" t="s">
        <v>559</v>
      </c>
    </row>
    <row r="106" spans="1:20" x14ac:dyDescent="0.3">
      <c r="A106" t="s">
        <v>560</v>
      </c>
      <c r="B106" s="1">
        <v>45581</v>
      </c>
      <c r="C106" t="s">
        <v>561</v>
      </c>
      <c r="D106" t="s">
        <v>562</v>
      </c>
      <c r="E106" t="s">
        <v>178</v>
      </c>
      <c r="F106" t="s">
        <v>179</v>
      </c>
      <c r="G106" t="s">
        <v>180</v>
      </c>
      <c r="H106" t="s">
        <v>123</v>
      </c>
      <c r="I106">
        <v>3</v>
      </c>
      <c r="J106">
        <v>99.05</v>
      </c>
      <c r="K106">
        <v>0.05</v>
      </c>
      <c r="L106">
        <v>33.880000000000003</v>
      </c>
      <c r="M106">
        <v>0.71</v>
      </c>
      <c r="N106">
        <v>316.88</v>
      </c>
      <c r="O106" t="s">
        <v>69</v>
      </c>
      <c r="P106" t="s">
        <v>28</v>
      </c>
      <c r="Q106" t="s">
        <v>51</v>
      </c>
      <c r="R106" t="s">
        <v>42</v>
      </c>
      <c r="S106" t="s">
        <v>43</v>
      </c>
      <c r="T106" t="s">
        <v>563</v>
      </c>
    </row>
    <row r="107" spans="1:20" x14ac:dyDescent="0.3">
      <c r="A107" t="s">
        <v>564</v>
      </c>
      <c r="B107" s="1">
        <v>45106</v>
      </c>
      <c r="C107" t="s">
        <v>565</v>
      </c>
      <c r="D107" t="s">
        <v>566</v>
      </c>
      <c r="E107" t="s">
        <v>492</v>
      </c>
      <c r="F107" t="s">
        <v>493</v>
      </c>
      <c r="G107" t="s">
        <v>98</v>
      </c>
      <c r="H107" t="s">
        <v>26</v>
      </c>
      <c r="I107">
        <v>1</v>
      </c>
      <c r="J107">
        <v>113.27</v>
      </c>
      <c r="K107">
        <v>0.05</v>
      </c>
      <c r="L107">
        <v>5.38</v>
      </c>
      <c r="M107">
        <v>0.22</v>
      </c>
      <c r="N107">
        <v>113.21</v>
      </c>
      <c r="O107" t="s">
        <v>80</v>
      </c>
      <c r="P107" t="s">
        <v>28</v>
      </c>
      <c r="Q107" t="s">
        <v>51</v>
      </c>
      <c r="R107" t="s">
        <v>42</v>
      </c>
      <c r="S107" t="s">
        <v>43</v>
      </c>
      <c r="T107" t="s">
        <v>567</v>
      </c>
    </row>
    <row r="108" spans="1:20" x14ac:dyDescent="0.3">
      <c r="A108" t="s">
        <v>568</v>
      </c>
      <c r="B108" s="1">
        <v>44847</v>
      </c>
      <c r="C108" t="s">
        <v>569</v>
      </c>
      <c r="D108" t="s">
        <v>570</v>
      </c>
      <c r="E108" t="s">
        <v>226</v>
      </c>
      <c r="F108" t="s">
        <v>227</v>
      </c>
      <c r="G108" t="s">
        <v>108</v>
      </c>
      <c r="H108" t="s">
        <v>39</v>
      </c>
      <c r="I108">
        <v>3</v>
      </c>
      <c r="J108">
        <v>297.26</v>
      </c>
      <c r="K108">
        <v>0.05</v>
      </c>
      <c r="L108">
        <v>101.66</v>
      </c>
      <c r="M108">
        <v>5.24</v>
      </c>
      <c r="N108">
        <v>954.09</v>
      </c>
      <c r="O108" t="s">
        <v>69</v>
      </c>
      <c r="P108" t="s">
        <v>99</v>
      </c>
      <c r="Q108" t="s">
        <v>154</v>
      </c>
      <c r="R108" t="s">
        <v>155</v>
      </c>
      <c r="S108" t="s">
        <v>43</v>
      </c>
      <c r="T108" t="s">
        <v>475</v>
      </c>
    </row>
    <row r="109" spans="1:20" x14ac:dyDescent="0.3">
      <c r="A109" t="s">
        <v>571</v>
      </c>
      <c r="B109" s="1">
        <v>45556</v>
      </c>
      <c r="C109" t="s">
        <v>572</v>
      </c>
      <c r="D109" t="s">
        <v>573</v>
      </c>
      <c r="E109" t="s">
        <v>574</v>
      </c>
      <c r="F109" t="s">
        <v>575</v>
      </c>
      <c r="G109" t="s">
        <v>50</v>
      </c>
      <c r="H109" t="s">
        <v>123</v>
      </c>
      <c r="I109">
        <v>1</v>
      </c>
      <c r="J109">
        <v>483.5</v>
      </c>
      <c r="K109">
        <v>0</v>
      </c>
      <c r="L109">
        <v>38.68</v>
      </c>
      <c r="M109">
        <v>4.62</v>
      </c>
      <c r="N109">
        <v>526.79999999999995</v>
      </c>
      <c r="O109" t="s">
        <v>27</v>
      </c>
      <c r="P109" t="s">
        <v>28</v>
      </c>
      <c r="Q109" t="s">
        <v>81</v>
      </c>
      <c r="R109" t="s">
        <v>82</v>
      </c>
      <c r="S109" t="s">
        <v>43</v>
      </c>
      <c r="T109" t="s">
        <v>576</v>
      </c>
    </row>
    <row r="110" spans="1:20" x14ac:dyDescent="0.3">
      <c r="A110" t="s">
        <v>577</v>
      </c>
      <c r="B110" s="1">
        <v>44126</v>
      </c>
      <c r="C110" t="s">
        <v>578</v>
      </c>
      <c r="D110" t="s">
        <v>566</v>
      </c>
      <c r="E110" t="s">
        <v>374</v>
      </c>
      <c r="F110" t="s">
        <v>375</v>
      </c>
      <c r="G110" t="s">
        <v>108</v>
      </c>
      <c r="H110" t="s">
        <v>123</v>
      </c>
      <c r="I110">
        <v>3</v>
      </c>
      <c r="J110">
        <v>127.42</v>
      </c>
      <c r="K110">
        <v>0.15</v>
      </c>
      <c r="L110">
        <v>16.25</v>
      </c>
      <c r="M110">
        <v>1.88</v>
      </c>
      <c r="N110">
        <v>343.05</v>
      </c>
      <c r="O110" t="s">
        <v>27</v>
      </c>
      <c r="P110" t="s">
        <v>28</v>
      </c>
      <c r="Q110" t="s">
        <v>210</v>
      </c>
      <c r="R110" t="s">
        <v>42</v>
      </c>
      <c r="S110" t="s">
        <v>43</v>
      </c>
      <c r="T110" t="s">
        <v>579</v>
      </c>
    </row>
    <row r="111" spans="1:20" x14ac:dyDescent="0.3">
      <c r="A111" t="s">
        <v>580</v>
      </c>
      <c r="B111" s="1">
        <v>45579</v>
      </c>
      <c r="C111" t="s">
        <v>581</v>
      </c>
      <c r="D111" t="s">
        <v>328</v>
      </c>
      <c r="E111" t="s">
        <v>77</v>
      </c>
      <c r="F111" t="s">
        <v>78</v>
      </c>
      <c r="G111" t="s">
        <v>108</v>
      </c>
      <c r="H111" t="s">
        <v>123</v>
      </c>
      <c r="I111">
        <v>5</v>
      </c>
      <c r="J111">
        <v>520.69000000000005</v>
      </c>
      <c r="K111">
        <v>0</v>
      </c>
      <c r="L111">
        <v>130.16999999999999</v>
      </c>
      <c r="M111">
        <v>9.98</v>
      </c>
      <c r="N111">
        <v>2743.6</v>
      </c>
      <c r="O111" t="s">
        <v>153</v>
      </c>
      <c r="P111" t="s">
        <v>28</v>
      </c>
      <c r="Q111" t="s">
        <v>182</v>
      </c>
      <c r="R111" t="s">
        <v>183</v>
      </c>
      <c r="S111" t="s">
        <v>31</v>
      </c>
      <c r="T111" t="s">
        <v>582</v>
      </c>
    </row>
    <row r="112" spans="1:20" x14ac:dyDescent="0.3">
      <c r="A112" t="s">
        <v>583</v>
      </c>
      <c r="B112" s="1">
        <v>44550</v>
      </c>
      <c r="C112" t="s">
        <v>584</v>
      </c>
      <c r="D112" t="s">
        <v>232</v>
      </c>
      <c r="E112" t="s">
        <v>66</v>
      </c>
      <c r="F112" t="s">
        <v>67</v>
      </c>
      <c r="G112" t="s">
        <v>50</v>
      </c>
      <c r="H112" t="s">
        <v>26</v>
      </c>
      <c r="I112">
        <v>5</v>
      </c>
      <c r="J112">
        <v>61.48</v>
      </c>
      <c r="K112">
        <v>0</v>
      </c>
      <c r="L112">
        <v>55.33</v>
      </c>
      <c r="M112">
        <v>2.64</v>
      </c>
      <c r="N112">
        <v>365.37</v>
      </c>
      <c r="O112" t="s">
        <v>40</v>
      </c>
      <c r="P112" t="s">
        <v>28</v>
      </c>
      <c r="Q112" t="s">
        <v>71</v>
      </c>
      <c r="R112" t="s">
        <v>42</v>
      </c>
      <c r="S112" t="s">
        <v>43</v>
      </c>
      <c r="T112" t="s">
        <v>585</v>
      </c>
    </row>
    <row r="113" spans="1:20" x14ac:dyDescent="0.3">
      <c r="A113" t="s">
        <v>586</v>
      </c>
      <c r="B113" s="1">
        <v>45603</v>
      </c>
      <c r="C113" t="s">
        <v>587</v>
      </c>
      <c r="D113" t="s">
        <v>207</v>
      </c>
      <c r="E113" t="s">
        <v>302</v>
      </c>
      <c r="F113" t="s">
        <v>303</v>
      </c>
      <c r="G113" t="s">
        <v>25</v>
      </c>
      <c r="H113" t="s">
        <v>68</v>
      </c>
      <c r="I113">
        <v>5</v>
      </c>
      <c r="J113">
        <v>314</v>
      </c>
      <c r="K113">
        <v>0</v>
      </c>
      <c r="L113">
        <v>282.60000000000002</v>
      </c>
      <c r="M113">
        <v>8.14</v>
      </c>
      <c r="N113">
        <v>1860.74</v>
      </c>
      <c r="O113" t="s">
        <v>27</v>
      </c>
      <c r="P113" t="s">
        <v>28</v>
      </c>
      <c r="Q113" t="s">
        <v>228</v>
      </c>
      <c r="R113" t="s">
        <v>82</v>
      </c>
      <c r="S113" t="s">
        <v>43</v>
      </c>
      <c r="T113" t="s">
        <v>588</v>
      </c>
    </row>
    <row r="114" spans="1:20" x14ac:dyDescent="0.3">
      <c r="A114" t="s">
        <v>589</v>
      </c>
      <c r="B114" s="1">
        <v>44168</v>
      </c>
      <c r="C114" t="s">
        <v>590</v>
      </c>
      <c r="D114" t="s">
        <v>591</v>
      </c>
      <c r="E114" t="s">
        <v>592</v>
      </c>
      <c r="F114" t="s">
        <v>593</v>
      </c>
      <c r="G114" t="s">
        <v>108</v>
      </c>
      <c r="H114" t="s">
        <v>39</v>
      </c>
      <c r="I114">
        <v>4</v>
      </c>
      <c r="J114">
        <v>189.7</v>
      </c>
      <c r="K114">
        <v>0.25</v>
      </c>
      <c r="L114">
        <v>28.46</v>
      </c>
      <c r="M114">
        <v>13.2</v>
      </c>
      <c r="N114">
        <v>610.76</v>
      </c>
      <c r="O114" t="s">
        <v>40</v>
      </c>
      <c r="P114" t="s">
        <v>70</v>
      </c>
      <c r="Q114" t="s">
        <v>51</v>
      </c>
      <c r="R114" t="s">
        <v>42</v>
      </c>
      <c r="S114" t="s">
        <v>43</v>
      </c>
      <c r="T114" t="s">
        <v>594</v>
      </c>
    </row>
    <row r="115" spans="1:20" x14ac:dyDescent="0.3">
      <c r="A115" t="s">
        <v>595</v>
      </c>
      <c r="B115" s="1">
        <v>44709</v>
      </c>
      <c r="C115" t="s">
        <v>596</v>
      </c>
      <c r="D115" t="s">
        <v>597</v>
      </c>
      <c r="E115" t="s">
        <v>226</v>
      </c>
      <c r="F115" t="s">
        <v>227</v>
      </c>
      <c r="G115" t="s">
        <v>50</v>
      </c>
      <c r="H115" t="s">
        <v>123</v>
      </c>
      <c r="I115">
        <v>2</v>
      </c>
      <c r="J115">
        <v>103.29</v>
      </c>
      <c r="K115">
        <v>0.2</v>
      </c>
      <c r="L115">
        <v>0</v>
      </c>
      <c r="M115">
        <v>0.55000000000000004</v>
      </c>
      <c r="N115">
        <v>165.81</v>
      </c>
      <c r="O115" t="s">
        <v>40</v>
      </c>
      <c r="P115" t="s">
        <v>132</v>
      </c>
      <c r="Q115" t="s">
        <v>71</v>
      </c>
      <c r="R115" t="s">
        <v>42</v>
      </c>
      <c r="S115" t="s">
        <v>43</v>
      </c>
      <c r="T115" t="s">
        <v>598</v>
      </c>
    </row>
    <row r="116" spans="1:20" x14ac:dyDescent="0.3">
      <c r="A116" t="s">
        <v>599</v>
      </c>
      <c r="B116" s="1">
        <v>44907</v>
      </c>
      <c r="C116" t="s">
        <v>600</v>
      </c>
      <c r="D116" t="s">
        <v>373</v>
      </c>
      <c r="E116" t="s">
        <v>337</v>
      </c>
      <c r="F116" t="s">
        <v>338</v>
      </c>
      <c r="G116" t="s">
        <v>38</v>
      </c>
      <c r="H116" t="s">
        <v>39</v>
      </c>
      <c r="I116">
        <v>3</v>
      </c>
      <c r="J116">
        <v>167.08</v>
      </c>
      <c r="K116">
        <v>0</v>
      </c>
      <c r="L116">
        <v>40.1</v>
      </c>
      <c r="M116">
        <v>7.29</v>
      </c>
      <c r="N116">
        <v>548.63</v>
      </c>
      <c r="O116" t="s">
        <v>40</v>
      </c>
      <c r="P116" t="s">
        <v>28</v>
      </c>
      <c r="Q116" t="s">
        <v>81</v>
      </c>
      <c r="R116" t="s">
        <v>82</v>
      </c>
      <c r="S116" t="s">
        <v>43</v>
      </c>
      <c r="T116" t="s">
        <v>601</v>
      </c>
    </row>
    <row r="117" spans="1:20" x14ac:dyDescent="0.3">
      <c r="A117" t="s">
        <v>602</v>
      </c>
      <c r="B117" s="1">
        <v>44622</v>
      </c>
      <c r="C117" t="s">
        <v>603</v>
      </c>
      <c r="D117" t="s">
        <v>604</v>
      </c>
      <c r="E117" t="s">
        <v>208</v>
      </c>
      <c r="F117" t="s">
        <v>209</v>
      </c>
      <c r="G117" t="s">
        <v>108</v>
      </c>
      <c r="H117" t="s">
        <v>68</v>
      </c>
      <c r="I117">
        <v>4</v>
      </c>
      <c r="J117">
        <v>468.57</v>
      </c>
      <c r="K117">
        <v>0.25</v>
      </c>
      <c r="L117">
        <v>70.290000000000006</v>
      </c>
      <c r="M117">
        <v>14.63</v>
      </c>
      <c r="N117">
        <v>1490.63</v>
      </c>
      <c r="O117" t="s">
        <v>27</v>
      </c>
      <c r="P117" t="s">
        <v>132</v>
      </c>
      <c r="Q117" t="s">
        <v>81</v>
      </c>
      <c r="R117" t="s">
        <v>82</v>
      </c>
      <c r="S117" t="s">
        <v>43</v>
      </c>
      <c r="T117" t="s">
        <v>605</v>
      </c>
    </row>
    <row r="118" spans="1:20" x14ac:dyDescent="0.3">
      <c r="A118" t="s">
        <v>606</v>
      </c>
      <c r="B118" s="1">
        <v>44047</v>
      </c>
      <c r="C118" t="s">
        <v>607</v>
      </c>
      <c r="D118" t="s">
        <v>171</v>
      </c>
      <c r="E118" t="s">
        <v>130</v>
      </c>
      <c r="F118" t="s">
        <v>131</v>
      </c>
      <c r="G118" t="s">
        <v>50</v>
      </c>
      <c r="H118" t="s">
        <v>123</v>
      </c>
      <c r="I118">
        <v>2</v>
      </c>
      <c r="J118">
        <v>25.31</v>
      </c>
      <c r="K118">
        <v>0</v>
      </c>
      <c r="L118">
        <v>0</v>
      </c>
      <c r="M118">
        <v>14.69</v>
      </c>
      <c r="N118">
        <v>65.31</v>
      </c>
      <c r="O118" t="s">
        <v>27</v>
      </c>
      <c r="P118" t="s">
        <v>132</v>
      </c>
      <c r="Q118" t="s">
        <v>41</v>
      </c>
      <c r="R118" t="s">
        <v>42</v>
      </c>
      <c r="S118" t="s">
        <v>43</v>
      </c>
      <c r="T118" t="s">
        <v>608</v>
      </c>
    </row>
    <row r="119" spans="1:20" x14ac:dyDescent="0.3">
      <c r="A119" t="s">
        <v>609</v>
      </c>
      <c r="B119" s="1">
        <v>44594</v>
      </c>
      <c r="C119" t="s">
        <v>610</v>
      </c>
      <c r="D119" t="s">
        <v>611</v>
      </c>
      <c r="E119" t="s">
        <v>254</v>
      </c>
      <c r="F119" t="s">
        <v>255</v>
      </c>
      <c r="G119" t="s">
        <v>108</v>
      </c>
      <c r="H119" t="s">
        <v>68</v>
      </c>
      <c r="I119">
        <v>2</v>
      </c>
      <c r="J119">
        <v>590.96</v>
      </c>
      <c r="K119">
        <v>0.05</v>
      </c>
      <c r="L119">
        <v>134.74</v>
      </c>
      <c r="M119">
        <v>5.5</v>
      </c>
      <c r="N119">
        <v>1263.06</v>
      </c>
      <c r="O119" t="s">
        <v>69</v>
      </c>
      <c r="P119" t="s">
        <v>28</v>
      </c>
      <c r="Q119" t="s">
        <v>100</v>
      </c>
      <c r="R119" t="s">
        <v>101</v>
      </c>
      <c r="S119" t="s">
        <v>43</v>
      </c>
      <c r="T119" t="s">
        <v>402</v>
      </c>
    </row>
    <row r="120" spans="1:20" x14ac:dyDescent="0.3">
      <c r="A120" t="s">
        <v>612</v>
      </c>
      <c r="B120" s="1">
        <v>44018</v>
      </c>
      <c r="C120" t="s">
        <v>613</v>
      </c>
      <c r="D120" t="s">
        <v>120</v>
      </c>
      <c r="E120" t="s">
        <v>319</v>
      </c>
      <c r="F120" t="s">
        <v>320</v>
      </c>
      <c r="G120" t="s">
        <v>38</v>
      </c>
      <c r="H120" t="s">
        <v>256</v>
      </c>
      <c r="I120">
        <v>2</v>
      </c>
      <c r="J120">
        <v>433.24</v>
      </c>
      <c r="K120">
        <v>0.05</v>
      </c>
      <c r="L120">
        <v>98.78</v>
      </c>
      <c r="M120">
        <v>10.23</v>
      </c>
      <c r="N120">
        <v>932.17</v>
      </c>
      <c r="O120" t="s">
        <v>59</v>
      </c>
      <c r="P120" t="s">
        <v>132</v>
      </c>
      <c r="Q120" t="s">
        <v>166</v>
      </c>
      <c r="R120" t="s">
        <v>167</v>
      </c>
      <c r="S120" t="s">
        <v>43</v>
      </c>
      <c r="T120" t="s">
        <v>614</v>
      </c>
    </row>
    <row r="121" spans="1:20" x14ac:dyDescent="0.3">
      <c r="A121" t="s">
        <v>615</v>
      </c>
      <c r="B121" s="1">
        <v>44210</v>
      </c>
      <c r="C121" t="s">
        <v>616</v>
      </c>
      <c r="D121" t="s">
        <v>332</v>
      </c>
      <c r="E121" t="s">
        <v>352</v>
      </c>
      <c r="F121" t="s">
        <v>353</v>
      </c>
      <c r="G121" t="s">
        <v>25</v>
      </c>
      <c r="H121" t="s">
        <v>263</v>
      </c>
      <c r="I121">
        <v>4</v>
      </c>
      <c r="J121">
        <v>187.75</v>
      </c>
      <c r="K121">
        <v>0.05</v>
      </c>
      <c r="L121">
        <v>128.41999999999999</v>
      </c>
      <c r="M121">
        <v>9.52</v>
      </c>
      <c r="N121">
        <v>851.39</v>
      </c>
      <c r="O121" t="s">
        <v>69</v>
      </c>
      <c r="P121" t="s">
        <v>28</v>
      </c>
      <c r="Q121" t="s">
        <v>228</v>
      </c>
      <c r="R121" t="s">
        <v>82</v>
      </c>
      <c r="S121" t="s">
        <v>43</v>
      </c>
      <c r="T121" t="s">
        <v>617</v>
      </c>
    </row>
    <row r="122" spans="1:20" x14ac:dyDescent="0.3">
      <c r="A122" t="s">
        <v>618</v>
      </c>
      <c r="B122" s="1">
        <v>44323</v>
      </c>
      <c r="C122" t="s">
        <v>619</v>
      </c>
      <c r="D122" t="s">
        <v>620</v>
      </c>
      <c r="E122" t="s">
        <v>492</v>
      </c>
      <c r="F122" t="s">
        <v>493</v>
      </c>
      <c r="G122" t="s">
        <v>98</v>
      </c>
      <c r="H122" t="s">
        <v>58</v>
      </c>
      <c r="I122">
        <v>5</v>
      </c>
      <c r="J122">
        <v>230.99</v>
      </c>
      <c r="K122">
        <v>0.15</v>
      </c>
      <c r="L122">
        <v>117.8</v>
      </c>
      <c r="M122">
        <v>10.69</v>
      </c>
      <c r="N122">
        <v>1110.2</v>
      </c>
      <c r="O122" t="s">
        <v>80</v>
      </c>
      <c r="P122" t="s">
        <v>28</v>
      </c>
      <c r="Q122" t="s">
        <v>221</v>
      </c>
      <c r="R122" t="s">
        <v>222</v>
      </c>
      <c r="S122" t="s">
        <v>43</v>
      </c>
      <c r="T122" t="s">
        <v>621</v>
      </c>
    </row>
    <row r="123" spans="1:20" x14ac:dyDescent="0.3">
      <c r="A123" t="s">
        <v>622</v>
      </c>
      <c r="B123" s="1">
        <v>44895</v>
      </c>
      <c r="C123" t="s">
        <v>623</v>
      </c>
      <c r="D123" t="s">
        <v>624</v>
      </c>
      <c r="E123" t="s">
        <v>215</v>
      </c>
      <c r="F123" t="s">
        <v>216</v>
      </c>
      <c r="G123" t="s">
        <v>108</v>
      </c>
      <c r="H123" t="s">
        <v>58</v>
      </c>
      <c r="I123">
        <v>5</v>
      </c>
      <c r="J123">
        <v>246.13</v>
      </c>
      <c r="K123">
        <v>0.1</v>
      </c>
      <c r="L123">
        <v>0</v>
      </c>
      <c r="M123">
        <v>9.69</v>
      </c>
      <c r="N123">
        <v>1117.28</v>
      </c>
      <c r="O123" t="s">
        <v>40</v>
      </c>
      <c r="P123" t="s">
        <v>132</v>
      </c>
      <c r="Q123" t="s">
        <v>51</v>
      </c>
      <c r="R123" t="s">
        <v>42</v>
      </c>
      <c r="S123" t="s">
        <v>72</v>
      </c>
      <c r="T123" t="s">
        <v>625</v>
      </c>
    </row>
    <row r="124" spans="1:20" x14ac:dyDescent="0.3">
      <c r="A124" t="s">
        <v>626</v>
      </c>
      <c r="B124" s="1">
        <v>45011</v>
      </c>
      <c r="C124" t="s">
        <v>627</v>
      </c>
      <c r="D124" t="s">
        <v>249</v>
      </c>
      <c r="E124" t="s">
        <v>352</v>
      </c>
      <c r="F124" t="s">
        <v>353</v>
      </c>
      <c r="G124" t="s">
        <v>38</v>
      </c>
      <c r="H124" t="s">
        <v>79</v>
      </c>
      <c r="I124">
        <v>1</v>
      </c>
      <c r="J124">
        <v>18.66</v>
      </c>
      <c r="K124">
        <v>0</v>
      </c>
      <c r="L124">
        <v>0.93</v>
      </c>
      <c r="M124">
        <v>5.03</v>
      </c>
      <c r="N124">
        <v>24.62</v>
      </c>
      <c r="O124" t="s">
        <v>40</v>
      </c>
      <c r="P124" t="s">
        <v>28</v>
      </c>
      <c r="Q124" t="s">
        <v>228</v>
      </c>
      <c r="R124" t="s">
        <v>82</v>
      </c>
      <c r="S124" t="s">
        <v>43</v>
      </c>
      <c r="T124" t="s">
        <v>628</v>
      </c>
    </row>
    <row r="125" spans="1:20" x14ac:dyDescent="0.3">
      <c r="A125" t="s">
        <v>629</v>
      </c>
      <c r="B125" s="1">
        <v>43845</v>
      </c>
      <c r="C125" t="s">
        <v>630</v>
      </c>
      <c r="D125" t="s">
        <v>201</v>
      </c>
      <c r="E125" t="s">
        <v>530</v>
      </c>
      <c r="F125" t="s">
        <v>531</v>
      </c>
      <c r="G125" t="s">
        <v>50</v>
      </c>
      <c r="H125" t="s">
        <v>123</v>
      </c>
      <c r="I125">
        <v>2</v>
      </c>
      <c r="J125">
        <v>48.99</v>
      </c>
      <c r="K125">
        <v>0.25</v>
      </c>
      <c r="L125">
        <v>3.67</v>
      </c>
      <c r="M125">
        <v>1.59</v>
      </c>
      <c r="N125">
        <v>78.739999999999995</v>
      </c>
      <c r="O125" t="s">
        <v>40</v>
      </c>
      <c r="P125" t="s">
        <v>28</v>
      </c>
      <c r="Q125" t="s">
        <v>339</v>
      </c>
      <c r="R125" t="s">
        <v>82</v>
      </c>
      <c r="S125" t="s">
        <v>43</v>
      </c>
      <c r="T125" t="s">
        <v>631</v>
      </c>
    </row>
    <row r="126" spans="1:20" x14ac:dyDescent="0.3">
      <c r="A126" t="s">
        <v>632</v>
      </c>
      <c r="B126" s="1">
        <v>43895</v>
      </c>
      <c r="C126" t="s">
        <v>633</v>
      </c>
      <c r="D126" t="s">
        <v>22</v>
      </c>
      <c r="E126" t="s">
        <v>208</v>
      </c>
      <c r="F126" t="s">
        <v>209</v>
      </c>
      <c r="G126" t="s">
        <v>108</v>
      </c>
      <c r="H126" t="s">
        <v>123</v>
      </c>
      <c r="I126">
        <v>5</v>
      </c>
      <c r="J126">
        <v>200.05</v>
      </c>
      <c r="K126">
        <v>0.05</v>
      </c>
      <c r="L126">
        <v>114.03</v>
      </c>
      <c r="M126">
        <v>2.34</v>
      </c>
      <c r="N126">
        <v>1066.6099999999999</v>
      </c>
      <c r="O126" t="s">
        <v>69</v>
      </c>
      <c r="P126" t="s">
        <v>28</v>
      </c>
      <c r="Q126" t="s">
        <v>116</v>
      </c>
      <c r="R126" t="s">
        <v>42</v>
      </c>
      <c r="S126" t="s">
        <v>235</v>
      </c>
      <c r="T126" t="s">
        <v>634</v>
      </c>
    </row>
    <row r="127" spans="1:20" x14ac:dyDescent="0.3">
      <c r="A127" t="s">
        <v>635</v>
      </c>
      <c r="B127" s="1">
        <v>44351</v>
      </c>
      <c r="C127" t="s">
        <v>636</v>
      </c>
      <c r="D127" t="s">
        <v>637</v>
      </c>
      <c r="E127" t="s">
        <v>215</v>
      </c>
      <c r="F127" t="s">
        <v>216</v>
      </c>
      <c r="G127" t="s">
        <v>180</v>
      </c>
      <c r="H127" t="s">
        <v>109</v>
      </c>
      <c r="I127">
        <v>4</v>
      </c>
      <c r="J127">
        <v>149.47</v>
      </c>
      <c r="K127">
        <v>0</v>
      </c>
      <c r="L127">
        <v>71.75</v>
      </c>
      <c r="M127">
        <v>10.48</v>
      </c>
      <c r="N127">
        <v>680.11</v>
      </c>
      <c r="O127" t="s">
        <v>80</v>
      </c>
      <c r="P127" t="s">
        <v>28</v>
      </c>
      <c r="Q127" t="s">
        <v>116</v>
      </c>
      <c r="R127" t="s">
        <v>42</v>
      </c>
      <c r="S127" t="s">
        <v>43</v>
      </c>
      <c r="T127" t="s">
        <v>638</v>
      </c>
    </row>
    <row r="128" spans="1:20" x14ac:dyDescent="0.3">
      <c r="A128" t="s">
        <v>639</v>
      </c>
      <c r="B128" s="1">
        <v>45198</v>
      </c>
      <c r="C128" t="s">
        <v>640</v>
      </c>
      <c r="D128" t="s">
        <v>641</v>
      </c>
      <c r="E128" t="s">
        <v>386</v>
      </c>
      <c r="F128" t="s">
        <v>387</v>
      </c>
      <c r="G128" t="s">
        <v>108</v>
      </c>
      <c r="H128" t="s">
        <v>263</v>
      </c>
      <c r="I128">
        <v>3</v>
      </c>
      <c r="J128">
        <v>460.51</v>
      </c>
      <c r="K128">
        <v>0.05</v>
      </c>
      <c r="L128">
        <v>157.49</v>
      </c>
      <c r="M128">
        <v>3.17</v>
      </c>
      <c r="N128">
        <v>1473.11</v>
      </c>
      <c r="O128" t="s">
        <v>69</v>
      </c>
      <c r="P128" t="s">
        <v>28</v>
      </c>
      <c r="Q128" t="s">
        <v>60</v>
      </c>
      <c r="R128" t="s">
        <v>61</v>
      </c>
      <c r="S128" t="s">
        <v>43</v>
      </c>
      <c r="T128" t="s">
        <v>642</v>
      </c>
    </row>
    <row r="129" spans="1:20" x14ac:dyDescent="0.3">
      <c r="A129" t="s">
        <v>643</v>
      </c>
      <c r="B129" s="1">
        <v>44983</v>
      </c>
      <c r="C129" t="s">
        <v>644</v>
      </c>
      <c r="D129" t="s">
        <v>150</v>
      </c>
      <c r="E129" t="s">
        <v>352</v>
      </c>
      <c r="F129" t="s">
        <v>353</v>
      </c>
      <c r="G129" t="s">
        <v>38</v>
      </c>
      <c r="H129" t="s">
        <v>58</v>
      </c>
      <c r="I129">
        <v>5</v>
      </c>
      <c r="J129">
        <v>141.31</v>
      </c>
      <c r="K129">
        <v>0.15</v>
      </c>
      <c r="L129">
        <v>72.069999999999993</v>
      </c>
      <c r="M129">
        <v>14.56</v>
      </c>
      <c r="N129">
        <v>687.2</v>
      </c>
      <c r="O129" t="s">
        <v>27</v>
      </c>
      <c r="P129" t="s">
        <v>28</v>
      </c>
      <c r="Q129" t="s">
        <v>100</v>
      </c>
      <c r="R129" t="s">
        <v>101</v>
      </c>
      <c r="S129" t="s">
        <v>43</v>
      </c>
      <c r="T129" t="s">
        <v>645</v>
      </c>
    </row>
    <row r="130" spans="1:20" x14ac:dyDescent="0.3">
      <c r="A130" t="s">
        <v>646</v>
      </c>
      <c r="B130" s="1">
        <v>44478</v>
      </c>
      <c r="C130" t="s">
        <v>647</v>
      </c>
      <c r="D130" t="s">
        <v>648</v>
      </c>
      <c r="E130" t="s">
        <v>196</v>
      </c>
      <c r="F130" t="s">
        <v>197</v>
      </c>
      <c r="G130" t="s">
        <v>25</v>
      </c>
      <c r="H130" t="s">
        <v>109</v>
      </c>
      <c r="I130">
        <v>3</v>
      </c>
      <c r="J130">
        <v>204.15</v>
      </c>
      <c r="K130">
        <v>0.1</v>
      </c>
      <c r="L130">
        <v>66.14</v>
      </c>
      <c r="M130">
        <v>10.09</v>
      </c>
      <c r="N130">
        <v>627.44000000000005</v>
      </c>
      <c r="O130" t="s">
        <v>69</v>
      </c>
      <c r="P130" t="s">
        <v>28</v>
      </c>
      <c r="Q130" t="s">
        <v>210</v>
      </c>
      <c r="R130" t="s">
        <v>42</v>
      </c>
      <c r="S130" t="s">
        <v>43</v>
      </c>
      <c r="T130" t="s">
        <v>649</v>
      </c>
    </row>
    <row r="131" spans="1:20" x14ac:dyDescent="0.3">
      <c r="A131" t="s">
        <v>650</v>
      </c>
      <c r="B131" s="1">
        <v>45326</v>
      </c>
      <c r="C131" t="s">
        <v>651</v>
      </c>
      <c r="D131" t="s">
        <v>652</v>
      </c>
      <c r="E131" t="s">
        <v>286</v>
      </c>
      <c r="F131" t="s">
        <v>287</v>
      </c>
      <c r="G131" t="s">
        <v>25</v>
      </c>
      <c r="H131" t="s">
        <v>26</v>
      </c>
      <c r="I131">
        <v>4</v>
      </c>
      <c r="J131">
        <v>577.36</v>
      </c>
      <c r="K131">
        <v>0.2</v>
      </c>
      <c r="L131">
        <v>92.38</v>
      </c>
      <c r="M131">
        <v>4.08</v>
      </c>
      <c r="N131">
        <v>1944.01</v>
      </c>
      <c r="O131" t="s">
        <v>27</v>
      </c>
      <c r="P131" t="s">
        <v>28</v>
      </c>
      <c r="Q131" t="s">
        <v>116</v>
      </c>
      <c r="R131" t="s">
        <v>42</v>
      </c>
      <c r="S131" t="s">
        <v>43</v>
      </c>
      <c r="T131" t="s">
        <v>653</v>
      </c>
    </row>
    <row r="132" spans="1:20" x14ac:dyDescent="0.3">
      <c r="A132" t="s">
        <v>654</v>
      </c>
      <c r="B132" s="1">
        <v>44917</v>
      </c>
      <c r="C132" t="s">
        <v>655</v>
      </c>
      <c r="D132" t="s">
        <v>656</v>
      </c>
      <c r="E132" t="s">
        <v>352</v>
      </c>
      <c r="F132" t="s">
        <v>353</v>
      </c>
      <c r="G132" t="s">
        <v>180</v>
      </c>
      <c r="H132" t="s">
        <v>79</v>
      </c>
      <c r="I132">
        <v>2</v>
      </c>
      <c r="J132">
        <v>509.27</v>
      </c>
      <c r="K132">
        <v>0</v>
      </c>
      <c r="L132">
        <v>0</v>
      </c>
      <c r="M132">
        <v>6.71</v>
      </c>
      <c r="N132">
        <v>1025.25</v>
      </c>
      <c r="O132" t="s">
        <v>153</v>
      </c>
      <c r="P132" t="s">
        <v>132</v>
      </c>
      <c r="Q132" t="s">
        <v>81</v>
      </c>
      <c r="R132" t="s">
        <v>82</v>
      </c>
      <c r="S132" t="s">
        <v>43</v>
      </c>
      <c r="T132" t="s">
        <v>657</v>
      </c>
    </row>
    <row r="133" spans="1:20" x14ac:dyDescent="0.3">
      <c r="A133" t="s">
        <v>658</v>
      </c>
      <c r="B133" s="1">
        <v>44993</v>
      </c>
      <c r="C133" t="s">
        <v>659</v>
      </c>
      <c r="D133" t="s">
        <v>660</v>
      </c>
      <c r="E133" t="s">
        <v>96</v>
      </c>
      <c r="F133" t="s">
        <v>97</v>
      </c>
      <c r="G133" t="s">
        <v>50</v>
      </c>
      <c r="H133" t="s">
        <v>58</v>
      </c>
      <c r="I133">
        <v>3</v>
      </c>
      <c r="J133">
        <v>496.12</v>
      </c>
      <c r="K133">
        <v>0</v>
      </c>
      <c r="L133">
        <v>74.42</v>
      </c>
      <c r="M133">
        <v>5.91</v>
      </c>
      <c r="N133">
        <v>1568.69</v>
      </c>
      <c r="O133" t="s">
        <v>153</v>
      </c>
      <c r="P133" t="s">
        <v>181</v>
      </c>
      <c r="Q133" t="s">
        <v>60</v>
      </c>
      <c r="R133" t="s">
        <v>61</v>
      </c>
      <c r="S133" t="s">
        <v>91</v>
      </c>
      <c r="T133" t="s">
        <v>661</v>
      </c>
    </row>
    <row r="134" spans="1:20" x14ac:dyDescent="0.3">
      <c r="A134" t="s">
        <v>662</v>
      </c>
      <c r="B134" s="1">
        <v>45353</v>
      </c>
      <c r="C134" t="s">
        <v>663</v>
      </c>
      <c r="D134" t="s">
        <v>253</v>
      </c>
      <c r="E134" t="s">
        <v>456</v>
      </c>
      <c r="F134" t="s">
        <v>457</v>
      </c>
      <c r="G134" t="s">
        <v>50</v>
      </c>
      <c r="H134" t="s">
        <v>68</v>
      </c>
      <c r="I134">
        <v>3</v>
      </c>
      <c r="J134">
        <v>497.74</v>
      </c>
      <c r="K134">
        <v>0</v>
      </c>
      <c r="L134">
        <v>179.19</v>
      </c>
      <c r="M134">
        <v>7.58</v>
      </c>
      <c r="N134">
        <v>1679.99</v>
      </c>
      <c r="O134" t="s">
        <v>69</v>
      </c>
      <c r="P134" t="s">
        <v>28</v>
      </c>
      <c r="Q134" t="s">
        <v>145</v>
      </c>
      <c r="R134" t="s">
        <v>146</v>
      </c>
      <c r="S134" t="s">
        <v>43</v>
      </c>
      <c r="T134" t="s">
        <v>184</v>
      </c>
    </row>
    <row r="135" spans="1:20" x14ac:dyDescent="0.3">
      <c r="A135" t="s">
        <v>664</v>
      </c>
      <c r="B135" s="1">
        <v>44423</v>
      </c>
      <c r="C135" t="s">
        <v>665</v>
      </c>
      <c r="D135" t="s">
        <v>666</v>
      </c>
      <c r="E135" t="s">
        <v>530</v>
      </c>
      <c r="F135" t="s">
        <v>531</v>
      </c>
      <c r="G135" t="s">
        <v>25</v>
      </c>
      <c r="H135" t="s">
        <v>39</v>
      </c>
      <c r="I135">
        <v>4</v>
      </c>
      <c r="J135">
        <v>384.81</v>
      </c>
      <c r="K135">
        <v>0</v>
      </c>
      <c r="L135">
        <v>184.71</v>
      </c>
      <c r="M135">
        <v>13.11</v>
      </c>
      <c r="N135">
        <v>1737.06</v>
      </c>
      <c r="O135" t="s">
        <v>69</v>
      </c>
      <c r="P135" t="s">
        <v>70</v>
      </c>
      <c r="Q135" t="s">
        <v>188</v>
      </c>
      <c r="R135" t="s">
        <v>82</v>
      </c>
      <c r="S135" t="s">
        <v>43</v>
      </c>
      <c r="T135" t="s">
        <v>667</v>
      </c>
    </row>
    <row r="136" spans="1:20" x14ac:dyDescent="0.3">
      <c r="A136" t="s">
        <v>668</v>
      </c>
      <c r="B136" s="1">
        <v>44222</v>
      </c>
      <c r="C136" t="s">
        <v>669</v>
      </c>
      <c r="D136" t="s">
        <v>670</v>
      </c>
      <c r="E136" t="s">
        <v>202</v>
      </c>
      <c r="F136" t="s">
        <v>203</v>
      </c>
      <c r="G136" t="s">
        <v>98</v>
      </c>
      <c r="H136" t="s">
        <v>123</v>
      </c>
      <c r="I136">
        <v>2</v>
      </c>
      <c r="J136">
        <v>321.45999999999998</v>
      </c>
      <c r="K136">
        <v>0.1</v>
      </c>
      <c r="L136">
        <v>69.44</v>
      </c>
      <c r="M136">
        <v>5.41</v>
      </c>
      <c r="N136">
        <v>653.48</v>
      </c>
      <c r="O136" t="s">
        <v>59</v>
      </c>
      <c r="P136" t="s">
        <v>28</v>
      </c>
      <c r="Q136" t="s">
        <v>81</v>
      </c>
      <c r="R136" t="s">
        <v>82</v>
      </c>
      <c r="S136" t="s">
        <v>31</v>
      </c>
      <c r="T136" t="s">
        <v>671</v>
      </c>
    </row>
    <row r="137" spans="1:20" x14ac:dyDescent="0.3">
      <c r="A137" t="s">
        <v>672</v>
      </c>
      <c r="B137" s="1">
        <v>45529</v>
      </c>
      <c r="C137" t="s">
        <v>673</v>
      </c>
      <c r="D137" t="s">
        <v>674</v>
      </c>
      <c r="E137" t="s">
        <v>675</v>
      </c>
      <c r="F137" t="s">
        <v>676</v>
      </c>
      <c r="G137" t="s">
        <v>98</v>
      </c>
      <c r="H137" t="s">
        <v>79</v>
      </c>
      <c r="I137">
        <v>5</v>
      </c>
      <c r="J137">
        <v>498.26</v>
      </c>
      <c r="K137">
        <v>0.05</v>
      </c>
      <c r="L137">
        <v>189.34</v>
      </c>
      <c r="M137">
        <v>3.64</v>
      </c>
      <c r="N137">
        <v>2559.7199999999998</v>
      </c>
      <c r="O137" t="s">
        <v>80</v>
      </c>
      <c r="P137" t="s">
        <v>132</v>
      </c>
      <c r="Q137" t="s">
        <v>29</v>
      </c>
      <c r="R137" t="s">
        <v>30</v>
      </c>
      <c r="S137" t="s">
        <v>235</v>
      </c>
      <c r="T137" t="s">
        <v>677</v>
      </c>
    </row>
    <row r="138" spans="1:20" x14ac:dyDescent="0.3">
      <c r="A138" t="s">
        <v>678</v>
      </c>
      <c r="B138" s="1">
        <v>44249</v>
      </c>
      <c r="C138" t="s">
        <v>679</v>
      </c>
      <c r="D138" t="s">
        <v>680</v>
      </c>
      <c r="E138" t="s">
        <v>358</v>
      </c>
      <c r="F138" t="s">
        <v>359</v>
      </c>
      <c r="G138" t="s">
        <v>25</v>
      </c>
      <c r="H138" t="s">
        <v>256</v>
      </c>
      <c r="I138">
        <v>5</v>
      </c>
      <c r="J138">
        <v>211.88</v>
      </c>
      <c r="K138">
        <v>0.1</v>
      </c>
      <c r="L138">
        <v>76.28</v>
      </c>
      <c r="M138">
        <v>9.75</v>
      </c>
      <c r="N138">
        <v>1039.49</v>
      </c>
      <c r="O138" t="s">
        <v>80</v>
      </c>
      <c r="P138" t="s">
        <v>28</v>
      </c>
      <c r="Q138" t="s">
        <v>166</v>
      </c>
      <c r="R138" t="s">
        <v>167</v>
      </c>
      <c r="S138" t="s">
        <v>43</v>
      </c>
      <c r="T138" t="s">
        <v>681</v>
      </c>
    </row>
    <row r="139" spans="1:20" x14ac:dyDescent="0.3">
      <c r="A139" t="s">
        <v>682</v>
      </c>
      <c r="B139" s="1">
        <v>44119</v>
      </c>
      <c r="C139" t="s">
        <v>683</v>
      </c>
      <c r="D139" t="s">
        <v>684</v>
      </c>
      <c r="E139" t="s">
        <v>87</v>
      </c>
      <c r="F139" t="s">
        <v>88</v>
      </c>
      <c r="G139" t="s">
        <v>50</v>
      </c>
      <c r="H139" t="s">
        <v>79</v>
      </c>
      <c r="I139">
        <v>2</v>
      </c>
      <c r="J139">
        <v>333.88</v>
      </c>
      <c r="K139">
        <v>0.05</v>
      </c>
      <c r="L139">
        <v>0</v>
      </c>
      <c r="M139">
        <v>10.61</v>
      </c>
      <c r="N139">
        <v>644.98</v>
      </c>
      <c r="O139" t="s">
        <v>69</v>
      </c>
      <c r="P139" t="s">
        <v>132</v>
      </c>
      <c r="Q139" t="s">
        <v>124</v>
      </c>
      <c r="R139" t="s">
        <v>125</v>
      </c>
      <c r="S139" t="s">
        <v>31</v>
      </c>
      <c r="T139" t="s">
        <v>685</v>
      </c>
    </row>
    <row r="140" spans="1:20" x14ac:dyDescent="0.3">
      <c r="A140" t="s">
        <v>686</v>
      </c>
      <c r="B140" s="1">
        <v>44209</v>
      </c>
      <c r="C140" t="s">
        <v>687</v>
      </c>
      <c r="D140" t="s">
        <v>538</v>
      </c>
      <c r="E140" t="s">
        <v>286</v>
      </c>
      <c r="F140" t="s">
        <v>287</v>
      </c>
      <c r="G140" t="s">
        <v>180</v>
      </c>
      <c r="H140" t="s">
        <v>123</v>
      </c>
      <c r="I140">
        <v>2</v>
      </c>
      <c r="J140">
        <v>522.65</v>
      </c>
      <c r="K140">
        <v>0.05</v>
      </c>
      <c r="L140">
        <v>79.44</v>
      </c>
      <c r="M140">
        <v>13.86</v>
      </c>
      <c r="N140">
        <v>1086.33</v>
      </c>
      <c r="O140" t="s">
        <v>69</v>
      </c>
      <c r="P140" t="s">
        <v>28</v>
      </c>
      <c r="Q140" t="s">
        <v>41</v>
      </c>
      <c r="R140" t="s">
        <v>42</v>
      </c>
      <c r="S140" t="s">
        <v>43</v>
      </c>
      <c r="T140" t="s">
        <v>688</v>
      </c>
    </row>
    <row r="141" spans="1:20" x14ac:dyDescent="0.3">
      <c r="A141" t="s">
        <v>689</v>
      </c>
      <c r="B141" s="1">
        <v>45627</v>
      </c>
      <c r="C141" t="s">
        <v>690</v>
      </c>
      <c r="D141" t="s">
        <v>555</v>
      </c>
      <c r="E141" t="s">
        <v>374</v>
      </c>
      <c r="F141" t="s">
        <v>375</v>
      </c>
      <c r="G141" t="s">
        <v>98</v>
      </c>
      <c r="H141" t="s">
        <v>39</v>
      </c>
      <c r="I141">
        <v>4</v>
      </c>
      <c r="J141">
        <v>67.78</v>
      </c>
      <c r="K141">
        <v>0.05</v>
      </c>
      <c r="L141">
        <v>20.61</v>
      </c>
      <c r="M141">
        <v>11.17</v>
      </c>
      <c r="N141">
        <v>289.33999999999997</v>
      </c>
      <c r="O141" t="s">
        <v>59</v>
      </c>
      <c r="P141" t="s">
        <v>28</v>
      </c>
      <c r="Q141" t="s">
        <v>221</v>
      </c>
      <c r="R141" t="s">
        <v>222</v>
      </c>
      <c r="S141" t="s">
        <v>43</v>
      </c>
      <c r="T141" t="s">
        <v>691</v>
      </c>
    </row>
    <row r="142" spans="1:20" x14ac:dyDescent="0.3">
      <c r="A142" t="s">
        <v>692</v>
      </c>
      <c r="B142" s="1">
        <v>45344</v>
      </c>
      <c r="C142" t="s">
        <v>693</v>
      </c>
      <c r="D142" t="s">
        <v>694</v>
      </c>
      <c r="E142" t="s">
        <v>280</v>
      </c>
      <c r="F142" t="s">
        <v>281</v>
      </c>
      <c r="G142" t="s">
        <v>25</v>
      </c>
      <c r="H142" t="s">
        <v>58</v>
      </c>
      <c r="I142">
        <v>5</v>
      </c>
      <c r="J142">
        <v>22.67</v>
      </c>
      <c r="K142">
        <v>0</v>
      </c>
      <c r="L142">
        <v>0</v>
      </c>
      <c r="M142">
        <v>13.16</v>
      </c>
      <c r="N142">
        <v>126.51</v>
      </c>
      <c r="O142" t="s">
        <v>27</v>
      </c>
      <c r="P142" t="s">
        <v>28</v>
      </c>
      <c r="Q142" t="s">
        <v>145</v>
      </c>
      <c r="R142" t="s">
        <v>146</v>
      </c>
      <c r="S142" t="s">
        <v>43</v>
      </c>
      <c r="T142" t="s">
        <v>695</v>
      </c>
    </row>
    <row r="143" spans="1:20" x14ac:dyDescent="0.3">
      <c r="A143" t="s">
        <v>696</v>
      </c>
      <c r="B143" s="1">
        <v>44061</v>
      </c>
      <c r="C143" t="s">
        <v>697</v>
      </c>
      <c r="D143" t="s">
        <v>698</v>
      </c>
      <c r="E143" t="s">
        <v>492</v>
      </c>
      <c r="F143" t="s">
        <v>493</v>
      </c>
      <c r="G143" t="s">
        <v>38</v>
      </c>
      <c r="H143" t="s">
        <v>39</v>
      </c>
      <c r="I143">
        <v>5</v>
      </c>
      <c r="J143">
        <v>544.52</v>
      </c>
      <c r="K143">
        <v>0.25</v>
      </c>
      <c r="L143">
        <v>245.03</v>
      </c>
      <c r="M143">
        <v>2.79</v>
      </c>
      <c r="N143">
        <v>2289.77</v>
      </c>
      <c r="O143" t="s">
        <v>59</v>
      </c>
      <c r="P143" t="s">
        <v>99</v>
      </c>
      <c r="Q143" t="s">
        <v>71</v>
      </c>
      <c r="R143" t="s">
        <v>42</v>
      </c>
      <c r="S143" t="s">
        <v>43</v>
      </c>
      <c r="T143" t="s">
        <v>699</v>
      </c>
    </row>
    <row r="144" spans="1:20" x14ac:dyDescent="0.3">
      <c r="A144" t="s">
        <v>700</v>
      </c>
      <c r="B144" s="1">
        <v>44848</v>
      </c>
      <c r="C144" t="s">
        <v>701</v>
      </c>
      <c r="D144" t="s">
        <v>702</v>
      </c>
      <c r="E144" t="s">
        <v>121</v>
      </c>
      <c r="F144" t="s">
        <v>122</v>
      </c>
      <c r="G144" t="s">
        <v>180</v>
      </c>
      <c r="H144" t="s">
        <v>263</v>
      </c>
      <c r="I144">
        <v>1</v>
      </c>
      <c r="J144">
        <v>431.01</v>
      </c>
      <c r="K144">
        <v>0</v>
      </c>
      <c r="L144">
        <v>0</v>
      </c>
      <c r="M144">
        <v>2.23</v>
      </c>
      <c r="N144">
        <v>433.24</v>
      </c>
      <c r="O144" t="s">
        <v>40</v>
      </c>
      <c r="P144" t="s">
        <v>132</v>
      </c>
      <c r="Q144" t="s">
        <v>116</v>
      </c>
      <c r="R144" t="s">
        <v>42</v>
      </c>
      <c r="S144" t="s">
        <v>43</v>
      </c>
      <c r="T144" t="s">
        <v>703</v>
      </c>
    </row>
    <row r="145" spans="1:20" x14ac:dyDescent="0.3">
      <c r="A145" t="s">
        <v>704</v>
      </c>
      <c r="B145" s="1">
        <v>43871</v>
      </c>
      <c r="C145" t="s">
        <v>705</v>
      </c>
      <c r="D145" t="s">
        <v>706</v>
      </c>
      <c r="E145" t="s">
        <v>358</v>
      </c>
      <c r="F145" t="s">
        <v>359</v>
      </c>
      <c r="G145" t="s">
        <v>25</v>
      </c>
      <c r="H145" t="s">
        <v>354</v>
      </c>
      <c r="I145">
        <v>3</v>
      </c>
      <c r="J145">
        <v>346.56</v>
      </c>
      <c r="K145">
        <v>0.15</v>
      </c>
      <c r="L145">
        <v>44.19</v>
      </c>
      <c r="M145">
        <v>1.85</v>
      </c>
      <c r="N145">
        <v>929.77</v>
      </c>
      <c r="O145" t="s">
        <v>69</v>
      </c>
      <c r="P145" t="s">
        <v>28</v>
      </c>
      <c r="Q145" t="s">
        <v>166</v>
      </c>
      <c r="R145" t="s">
        <v>167</v>
      </c>
      <c r="S145" t="s">
        <v>43</v>
      </c>
      <c r="T145" t="s">
        <v>168</v>
      </c>
    </row>
    <row r="146" spans="1:20" x14ac:dyDescent="0.3">
      <c r="A146" t="s">
        <v>707</v>
      </c>
      <c r="B146" s="1">
        <v>44882</v>
      </c>
      <c r="C146" t="s">
        <v>708</v>
      </c>
      <c r="D146" t="s">
        <v>433</v>
      </c>
      <c r="E146" t="s">
        <v>172</v>
      </c>
      <c r="F146" t="s">
        <v>173</v>
      </c>
      <c r="G146" t="s">
        <v>25</v>
      </c>
      <c r="H146" t="s">
        <v>26</v>
      </c>
      <c r="I146">
        <v>1</v>
      </c>
      <c r="J146">
        <v>87.79</v>
      </c>
      <c r="K146">
        <v>0</v>
      </c>
      <c r="L146">
        <v>15.8</v>
      </c>
      <c r="M146">
        <v>10.92</v>
      </c>
      <c r="N146">
        <v>114.51</v>
      </c>
      <c r="O146" t="s">
        <v>69</v>
      </c>
      <c r="P146" t="s">
        <v>28</v>
      </c>
      <c r="Q146" t="s">
        <v>139</v>
      </c>
      <c r="R146" t="s">
        <v>140</v>
      </c>
      <c r="S146" t="s">
        <v>235</v>
      </c>
      <c r="T146" t="s">
        <v>709</v>
      </c>
    </row>
    <row r="147" spans="1:20" x14ac:dyDescent="0.3">
      <c r="A147" t="s">
        <v>710</v>
      </c>
      <c r="B147" s="1">
        <v>43965</v>
      </c>
      <c r="C147" t="s">
        <v>711</v>
      </c>
      <c r="D147" t="s">
        <v>712</v>
      </c>
      <c r="E147" t="s">
        <v>286</v>
      </c>
      <c r="F147" t="s">
        <v>287</v>
      </c>
      <c r="G147" t="s">
        <v>38</v>
      </c>
      <c r="H147" t="s">
        <v>123</v>
      </c>
      <c r="I147">
        <v>4</v>
      </c>
      <c r="J147">
        <v>596.79999999999995</v>
      </c>
      <c r="K147">
        <v>0.05</v>
      </c>
      <c r="L147">
        <v>272.14</v>
      </c>
      <c r="M147">
        <v>2.1</v>
      </c>
      <c r="N147">
        <v>2542.08</v>
      </c>
      <c r="O147" t="s">
        <v>69</v>
      </c>
      <c r="P147" t="s">
        <v>28</v>
      </c>
      <c r="Q147" t="s">
        <v>29</v>
      </c>
      <c r="R147" t="s">
        <v>30</v>
      </c>
      <c r="S147" t="s">
        <v>31</v>
      </c>
      <c r="T147" t="s">
        <v>713</v>
      </c>
    </row>
    <row r="148" spans="1:20" x14ac:dyDescent="0.3">
      <c r="A148" t="s">
        <v>714</v>
      </c>
      <c r="B148" s="1">
        <v>44031</v>
      </c>
      <c r="C148" t="s">
        <v>715</v>
      </c>
      <c r="D148" t="s">
        <v>716</v>
      </c>
      <c r="E148" t="s">
        <v>286</v>
      </c>
      <c r="F148" t="s">
        <v>287</v>
      </c>
      <c r="G148" t="s">
        <v>180</v>
      </c>
      <c r="H148" t="s">
        <v>68</v>
      </c>
      <c r="I148">
        <v>1</v>
      </c>
      <c r="J148">
        <v>194.17</v>
      </c>
      <c r="K148">
        <v>0</v>
      </c>
      <c r="L148">
        <v>9.7100000000000009</v>
      </c>
      <c r="M148">
        <v>5.33</v>
      </c>
      <c r="N148">
        <v>209.21</v>
      </c>
      <c r="O148" t="s">
        <v>69</v>
      </c>
      <c r="P148" t="s">
        <v>28</v>
      </c>
      <c r="Q148" t="s">
        <v>228</v>
      </c>
      <c r="R148" t="s">
        <v>82</v>
      </c>
      <c r="S148" t="s">
        <v>31</v>
      </c>
      <c r="T148" t="s">
        <v>717</v>
      </c>
    </row>
    <row r="149" spans="1:20" x14ac:dyDescent="0.3">
      <c r="A149" t="s">
        <v>718</v>
      </c>
      <c r="B149" s="1">
        <v>44610</v>
      </c>
      <c r="C149" t="s">
        <v>719</v>
      </c>
      <c r="D149" t="s">
        <v>720</v>
      </c>
      <c r="E149" t="s">
        <v>386</v>
      </c>
      <c r="F149" t="s">
        <v>387</v>
      </c>
      <c r="G149" t="s">
        <v>50</v>
      </c>
      <c r="H149" t="s">
        <v>263</v>
      </c>
      <c r="I149">
        <v>2</v>
      </c>
      <c r="J149">
        <v>42.52</v>
      </c>
      <c r="K149">
        <v>0.05</v>
      </c>
      <c r="L149">
        <v>4.04</v>
      </c>
      <c r="M149">
        <v>11.11</v>
      </c>
      <c r="N149">
        <v>95.94</v>
      </c>
      <c r="O149" t="s">
        <v>69</v>
      </c>
      <c r="P149" t="s">
        <v>28</v>
      </c>
      <c r="Q149" t="s">
        <v>89</v>
      </c>
      <c r="R149" t="s">
        <v>90</v>
      </c>
      <c r="S149" t="s">
        <v>43</v>
      </c>
      <c r="T149" t="s">
        <v>721</v>
      </c>
    </row>
    <row r="150" spans="1:20" x14ac:dyDescent="0.3">
      <c r="A150" t="s">
        <v>722</v>
      </c>
      <c r="B150" s="1">
        <v>44760</v>
      </c>
      <c r="C150" t="s">
        <v>723</v>
      </c>
      <c r="D150" t="s">
        <v>724</v>
      </c>
      <c r="E150" t="s">
        <v>280</v>
      </c>
      <c r="F150" t="s">
        <v>281</v>
      </c>
      <c r="G150" t="s">
        <v>98</v>
      </c>
      <c r="H150" t="s">
        <v>109</v>
      </c>
      <c r="I150">
        <v>3</v>
      </c>
      <c r="J150">
        <v>262.02</v>
      </c>
      <c r="K150">
        <v>0.15</v>
      </c>
      <c r="L150">
        <v>120.27</v>
      </c>
      <c r="M150">
        <v>7.09</v>
      </c>
      <c r="N150">
        <v>795.51</v>
      </c>
      <c r="O150" t="s">
        <v>69</v>
      </c>
      <c r="P150" t="s">
        <v>181</v>
      </c>
      <c r="Q150" t="s">
        <v>89</v>
      </c>
      <c r="R150" t="s">
        <v>90</v>
      </c>
      <c r="S150" t="s">
        <v>43</v>
      </c>
      <c r="T150" t="s">
        <v>725</v>
      </c>
    </row>
    <row r="151" spans="1:20" x14ac:dyDescent="0.3">
      <c r="A151" t="s">
        <v>726</v>
      </c>
      <c r="B151" s="1">
        <v>44887</v>
      </c>
      <c r="C151" t="s">
        <v>727</v>
      </c>
      <c r="D151" t="s">
        <v>542</v>
      </c>
      <c r="E151" t="s">
        <v>319</v>
      </c>
      <c r="F151" t="s">
        <v>320</v>
      </c>
      <c r="G151" t="s">
        <v>98</v>
      </c>
      <c r="H151" t="s">
        <v>354</v>
      </c>
      <c r="I151">
        <v>3</v>
      </c>
      <c r="J151">
        <v>43.8</v>
      </c>
      <c r="K151">
        <v>0</v>
      </c>
      <c r="L151">
        <v>10.51</v>
      </c>
      <c r="M151">
        <v>6.23</v>
      </c>
      <c r="N151">
        <v>148.13999999999999</v>
      </c>
      <c r="O151" t="s">
        <v>59</v>
      </c>
      <c r="P151" t="s">
        <v>132</v>
      </c>
      <c r="Q151" t="s">
        <v>221</v>
      </c>
      <c r="R151" t="s">
        <v>222</v>
      </c>
      <c r="S151" t="s">
        <v>43</v>
      </c>
      <c r="T151" t="s">
        <v>728</v>
      </c>
    </row>
    <row r="152" spans="1:20" x14ac:dyDescent="0.3">
      <c r="A152" t="s">
        <v>729</v>
      </c>
      <c r="B152" s="1">
        <v>44902</v>
      </c>
      <c r="C152" t="s">
        <v>730</v>
      </c>
      <c r="D152" t="s">
        <v>731</v>
      </c>
      <c r="E152" t="s">
        <v>286</v>
      </c>
      <c r="F152" t="s">
        <v>287</v>
      </c>
      <c r="G152" t="s">
        <v>50</v>
      </c>
      <c r="H152" t="s">
        <v>79</v>
      </c>
      <c r="I152">
        <v>4</v>
      </c>
      <c r="J152">
        <v>306.01</v>
      </c>
      <c r="K152">
        <v>0.3</v>
      </c>
      <c r="L152">
        <v>42.84</v>
      </c>
      <c r="M152">
        <v>9.24</v>
      </c>
      <c r="N152">
        <v>908.91</v>
      </c>
      <c r="O152" t="s">
        <v>27</v>
      </c>
      <c r="P152" t="s">
        <v>28</v>
      </c>
      <c r="Q152" t="s">
        <v>51</v>
      </c>
      <c r="R152" t="s">
        <v>42</v>
      </c>
      <c r="S152" t="s">
        <v>235</v>
      </c>
      <c r="T152" t="s">
        <v>147</v>
      </c>
    </row>
    <row r="153" spans="1:20" x14ac:dyDescent="0.3">
      <c r="A153" t="s">
        <v>732</v>
      </c>
      <c r="B153" s="1">
        <v>44333</v>
      </c>
      <c r="C153" t="s">
        <v>733</v>
      </c>
      <c r="D153" t="s">
        <v>716</v>
      </c>
      <c r="E153" t="s">
        <v>66</v>
      </c>
      <c r="F153" t="s">
        <v>67</v>
      </c>
      <c r="G153" t="s">
        <v>108</v>
      </c>
      <c r="H153" t="s">
        <v>58</v>
      </c>
      <c r="I153">
        <v>4</v>
      </c>
      <c r="J153">
        <v>251.6</v>
      </c>
      <c r="K153">
        <v>0.1</v>
      </c>
      <c r="L153">
        <v>108.69</v>
      </c>
      <c r="M153">
        <v>13.75</v>
      </c>
      <c r="N153">
        <v>1028.2</v>
      </c>
      <c r="O153" t="s">
        <v>153</v>
      </c>
      <c r="P153" t="s">
        <v>28</v>
      </c>
      <c r="Q153" t="s">
        <v>139</v>
      </c>
      <c r="R153" t="s">
        <v>140</v>
      </c>
      <c r="S153" t="s">
        <v>235</v>
      </c>
      <c r="T153" t="s">
        <v>734</v>
      </c>
    </row>
    <row r="154" spans="1:20" x14ac:dyDescent="0.3">
      <c r="A154" t="s">
        <v>735</v>
      </c>
      <c r="B154" s="1">
        <v>44237</v>
      </c>
      <c r="C154" t="s">
        <v>736</v>
      </c>
      <c r="D154" t="s">
        <v>385</v>
      </c>
      <c r="E154" t="s">
        <v>202</v>
      </c>
      <c r="F154" t="s">
        <v>203</v>
      </c>
      <c r="G154" t="s">
        <v>180</v>
      </c>
      <c r="H154" t="s">
        <v>79</v>
      </c>
      <c r="I154">
        <v>3</v>
      </c>
      <c r="J154">
        <v>431.79</v>
      </c>
      <c r="K154">
        <v>0</v>
      </c>
      <c r="L154">
        <v>64.77</v>
      </c>
      <c r="M154">
        <v>11.24</v>
      </c>
      <c r="N154">
        <v>1371.38</v>
      </c>
      <c r="O154" t="s">
        <v>69</v>
      </c>
      <c r="P154" t="s">
        <v>28</v>
      </c>
      <c r="Q154" t="s">
        <v>221</v>
      </c>
      <c r="R154" t="s">
        <v>222</v>
      </c>
      <c r="S154" t="s">
        <v>43</v>
      </c>
      <c r="T154" t="s">
        <v>737</v>
      </c>
    </row>
    <row r="155" spans="1:20" x14ac:dyDescent="0.3">
      <c r="A155" t="s">
        <v>738</v>
      </c>
      <c r="B155" s="1">
        <v>45428</v>
      </c>
      <c r="C155" t="s">
        <v>739</v>
      </c>
      <c r="D155" t="s">
        <v>538</v>
      </c>
      <c r="E155" t="s">
        <v>77</v>
      </c>
      <c r="F155" t="s">
        <v>78</v>
      </c>
      <c r="G155" t="s">
        <v>25</v>
      </c>
      <c r="H155" t="s">
        <v>109</v>
      </c>
      <c r="I155">
        <v>4</v>
      </c>
      <c r="J155">
        <v>291.13</v>
      </c>
      <c r="K155">
        <v>0.15</v>
      </c>
      <c r="L155">
        <v>49.49</v>
      </c>
      <c r="M155">
        <v>2.52</v>
      </c>
      <c r="N155">
        <v>1041.8499999999999</v>
      </c>
      <c r="O155" t="s">
        <v>27</v>
      </c>
      <c r="P155" t="s">
        <v>28</v>
      </c>
      <c r="Q155" t="s">
        <v>182</v>
      </c>
      <c r="R155" t="s">
        <v>183</v>
      </c>
      <c r="S155" t="s">
        <v>235</v>
      </c>
      <c r="T155" t="s">
        <v>740</v>
      </c>
    </row>
    <row r="156" spans="1:20" x14ac:dyDescent="0.3">
      <c r="A156" t="s">
        <v>741</v>
      </c>
      <c r="B156" s="1">
        <v>45582</v>
      </c>
      <c r="C156" t="s">
        <v>742</v>
      </c>
      <c r="D156" t="s">
        <v>159</v>
      </c>
      <c r="E156" t="s">
        <v>164</v>
      </c>
      <c r="F156" t="s">
        <v>165</v>
      </c>
      <c r="G156" t="s">
        <v>50</v>
      </c>
      <c r="H156" t="s">
        <v>109</v>
      </c>
      <c r="I156">
        <v>3</v>
      </c>
      <c r="J156">
        <v>414.46</v>
      </c>
      <c r="K156">
        <v>0.25</v>
      </c>
      <c r="L156">
        <v>111.9</v>
      </c>
      <c r="M156">
        <v>4.6900000000000004</v>
      </c>
      <c r="N156">
        <v>1049.1199999999999</v>
      </c>
      <c r="O156" t="s">
        <v>40</v>
      </c>
      <c r="P156" t="s">
        <v>28</v>
      </c>
      <c r="Q156" t="s">
        <v>166</v>
      </c>
      <c r="R156" t="s">
        <v>167</v>
      </c>
      <c r="S156" t="s">
        <v>43</v>
      </c>
      <c r="T156" t="s">
        <v>743</v>
      </c>
    </row>
    <row r="157" spans="1:20" x14ac:dyDescent="0.3">
      <c r="A157" t="s">
        <v>744</v>
      </c>
      <c r="B157" s="1">
        <v>44635</v>
      </c>
      <c r="C157" t="s">
        <v>745</v>
      </c>
      <c r="D157" t="s">
        <v>746</v>
      </c>
      <c r="E157" t="s">
        <v>456</v>
      </c>
      <c r="F157" t="s">
        <v>457</v>
      </c>
      <c r="G157" t="s">
        <v>180</v>
      </c>
      <c r="H157" t="s">
        <v>26</v>
      </c>
      <c r="I157">
        <v>3</v>
      </c>
      <c r="J157">
        <v>180.87</v>
      </c>
      <c r="K157">
        <v>0</v>
      </c>
      <c r="L157">
        <v>27.13</v>
      </c>
      <c r="M157">
        <v>2.04</v>
      </c>
      <c r="N157">
        <v>571.78</v>
      </c>
      <c r="O157" t="s">
        <v>27</v>
      </c>
      <c r="P157" t="s">
        <v>28</v>
      </c>
      <c r="Q157" t="s">
        <v>145</v>
      </c>
      <c r="R157" t="s">
        <v>146</v>
      </c>
      <c r="S157" t="s">
        <v>43</v>
      </c>
      <c r="T157" t="s">
        <v>747</v>
      </c>
    </row>
    <row r="158" spans="1:20" x14ac:dyDescent="0.3">
      <c r="A158" t="s">
        <v>748</v>
      </c>
      <c r="B158" s="1">
        <v>43929</v>
      </c>
      <c r="C158" t="s">
        <v>749</v>
      </c>
      <c r="D158" t="s">
        <v>562</v>
      </c>
      <c r="E158" t="s">
        <v>261</v>
      </c>
      <c r="F158" t="s">
        <v>262</v>
      </c>
      <c r="G158" t="s">
        <v>108</v>
      </c>
      <c r="H158" t="s">
        <v>354</v>
      </c>
      <c r="I158">
        <v>5</v>
      </c>
      <c r="J158">
        <v>104.18</v>
      </c>
      <c r="K158">
        <v>0.1</v>
      </c>
      <c r="L158">
        <v>0</v>
      </c>
      <c r="M158">
        <v>8.69</v>
      </c>
      <c r="N158">
        <v>477.5</v>
      </c>
      <c r="O158" t="s">
        <v>69</v>
      </c>
      <c r="P158" t="s">
        <v>132</v>
      </c>
      <c r="Q158" t="s">
        <v>182</v>
      </c>
      <c r="R158" t="s">
        <v>183</v>
      </c>
      <c r="S158" t="s">
        <v>235</v>
      </c>
      <c r="T158" t="s">
        <v>750</v>
      </c>
    </row>
    <row r="159" spans="1:20" x14ac:dyDescent="0.3">
      <c r="A159" t="s">
        <v>751</v>
      </c>
      <c r="B159" s="1">
        <v>44514</v>
      </c>
      <c r="C159" t="s">
        <v>752</v>
      </c>
      <c r="D159" t="s">
        <v>753</v>
      </c>
      <c r="E159" t="s">
        <v>244</v>
      </c>
      <c r="F159" t="s">
        <v>245</v>
      </c>
      <c r="G159" t="s">
        <v>25</v>
      </c>
      <c r="H159" t="s">
        <v>354</v>
      </c>
      <c r="I159">
        <v>2</v>
      </c>
      <c r="J159">
        <v>400.69</v>
      </c>
      <c r="K159">
        <v>0.1</v>
      </c>
      <c r="L159">
        <v>57.7</v>
      </c>
      <c r="M159">
        <v>10.68</v>
      </c>
      <c r="N159">
        <v>789.62</v>
      </c>
      <c r="O159" t="s">
        <v>69</v>
      </c>
      <c r="P159" t="s">
        <v>99</v>
      </c>
      <c r="Q159" t="s">
        <v>116</v>
      </c>
      <c r="R159" t="s">
        <v>42</v>
      </c>
      <c r="S159" t="s">
        <v>72</v>
      </c>
      <c r="T159" t="s">
        <v>754</v>
      </c>
    </row>
    <row r="160" spans="1:20" x14ac:dyDescent="0.3">
      <c r="A160" t="s">
        <v>755</v>
      </c>
      <c r="B160" s="1">
        <v>44556</v>
      </c>
      <c r="C160" t="s">
        <v>756</v>
      </c>
      <c r="D160" t="s">
        <v>757</v>
      </c>
      <c r="E160" t="s">
        <v>469</v>
      </c>
      <c r="F160" t="s">
        <v>470</v>
      </c>
      <c r="G160" t="s">
        <v>38</v>
      </c>
      <c r="H160" t="s">
        <v>256</v>
      </c>
      <c r="I160">
        <v>3</v>
      </c>
      <c r="J160">
        <v>479.99</v>
      </c>
      <c r="K160">
        <v>0.25</v>
      </c>
      <c r="L160">
        <v>129.6</v>
      </c>
      <c r="M160">
        <v>8.69</v>
      </c>
      <c r="N160">
        <v>1218.27</v>
      </c>
      <c r="O160" t="s">
        <v>80</v>
      </c>
      <c r="P160" t="s">
        <v>28</v>
      </c>
      <c r="Q160" t="s">
        <v>51</v>
      </c>
      <c r="R160" t="s">
        <v>42</v>
      </c>
      <c r="S160" t="s">
        <v>43</v>
      </c>
      <c r="T160" t="s">
        <v>758</v>
      </c>
    </row>
    <row r="161" spans="1:20" x14ac:dyDescent="0.3">
      <c r="A161" t="s">
        <v>759</v>
      </c>
      <c r="B161" s="1">
        <v>45401</v>
      </c>
      <c r="C161" t="s">
        <v>760</v>
      </c>
      <c r="D161" t="s">
        <v>171</v>
      </c>
      <c r="E161" t="s">
        <v>215</v>
      </c>
      <c r="F161" t="s">
        <v>216</v>
      </c>
      <c r="G161" t="s">
        <v>108</v>
      </c>
      <c r="H161" t="s">
        <v>263</v>
      </c>
      <c r="I161">
        <v>1</v>
      </c>
      <c r="J161">
        <v>247.54</v>
      </c>
      <c r="K161">
        <v>0.05</v>
      </c>
      <c r="L161">
        <v>28.22</v>
      </c>
      <c r="M161">
        <v>2.0699999999999998</v>
      </c>
      <c r="N161">
        <v>265.45</v>
      </c>
      <c r="O161" t="s">
        <v>40</v>
      </c>
      <c r="P161" t="s">
        <v>28</v>
      </c>
      <c r="Q161" t="s">
        <v>89</v>
      </c>
      <c r="R161" t="s">
        <v>90</v>
      </c>
      <c r="S161" t="s">
        <v>43</v>
      </c>
      <c r="T161" t="s">
        <v>761</v>
      </c>
    </row>
    <row r="162" spans="1:20" x14ac:dyDescent="0.3">
      <c r="A162" t="s">
        <v>762</v>
      </c>
      <c r="B162" s="1">
        <v>44791</v>
      </c>
      <c r="C162" t="s">
        <v>763</v>
      </c>
      <c r="D162" t="s">
        <v>764</v>
      </c>
      <c r="E162" t="s">
        <v>456</v>
      </c>
      <c r="F162" t="s">
        <v>457</v>
      </c>
      <c r="G162" t="s">
        <v>98</v>
      </c>
      <c r="H162" t="s">
        <v>256</v>
      </c>
      <c r="I162">
        <v>3</v>
      </c>
      <c r="J162">
        <v>14.51</v>
      </c>
      <c r="K162">
        <v>0.05</v>
      </c>
      <c r="L162">
        <v>4.96</v>
      </c>
      <c r="M162">
        <v>0.82</v>
      </c>
      <c r="N162">
        <v>47.13</v>
      </c>
      <c r="O162" t="s">
        <v>69</v>
      </c>
      <c r="P162" t="s">
        <v>28</v>
      </c>
      <c r="Q162" t="s">
        <v>145</v>
      </c>
      <c r="R162" t="s">
        <v>146</v>
      </c>
      <c r="S162" t="s">
        <v>43</v>
      </c>
      <c r="T162" t="s">
        <v>765</v>
      </c>
    </row>
    <row r="163" spans="1:20" x14ac:dyDescent="0.3">
      <c r="A163" t="s">
        <v>766</v>
      </c>
      <c r="B163" s="1">
        <v>45593</v>
      </c>
      <c r="C163" t="s">
        <v>767</v>
      </c>
      <c r="D163" t="s">
        <v>768</v>
      </c>
      <c r="E163" t="s">
        <v>137</v>
      </c>
      <c r="F163" t="s">
        <v>138</v>
      </c>
      <c r="G163" t="s">
        <v>180</v>
      </c>
      <c r="H163" t="s">
        <v>354</v>
      </c>
      <c r="I163">
        <v>5</v>
      </c>
      <c r="J163">
        <v>216.33</v>
      </c>
      <c r="K163">
        <v>0.2</v>
      </c>
      <c r="L163">
        <v>0</v>
      </c>
      <c r="M163">
        <v>9.73</v>
      </c>
      <c r="N163">
        <v>875.05</v>
      </c>
      <c r="O163" t="s">
        <v>69</v>
      </c>
      <c r="P163" t="s">
        <v>28</v>
      </c>
      <c r="Q163" t="s">
        <v>71</v>
      </c>
      <c r="R163" t="s">
        <v>42</v>
      </c>
      <c r="S163" t="s">
        <v>43</v>
      </c>
      <c r="T163" t="s">
        <v>769</v>
      </c>
    </row>
    <row r="164" spans="1:20" x14ac:dyDescent="0.3">
      <c r="A164" t="s">
        <v>770</v>
      </c>
      <c r="B164" s="1">
        <v>44443</v>
      </c>
      <c r="C164" t="s">
        <v>771</v>
      </c>
      <c r="D164" t="s">
        <v>772</v>
      </c>
      <c r="E164" t="s">
        <v>172</v>
      </c>
      <c r="F164" t="s">
        <v>173</v>
      </c>
      <c r="G164" t="s">
        <v>38</v>
      </c>
      <c r="H164" t="s">
        <v>79</v>
      </c>
      <c r="I164">
        <v>3</v>
      </c>
      <c r="J164">
        <v>38.53</v>
      </c>
      <c r="K164">
        <v>0</v>
      </c>
      <c r="L164">
        <v>5.78</v>
      </c>
      <c r="M164">
        <v>8.4</v>
      </c>
      <c r="N164">
        <v>129.77000000000001</v>
      </c>
      <c r="O164" t="s">
        <v>27</v>
      </c>
      <c r="P164" t="s">
        <v>28</v>
      </c>
      <c r="Q164" t="s">
        <v>71</v>
      </c>
      <c r="R164" t="s">
        <v>42</v>
      </c>
      <c r="S164" t="s">
        <v>43</v>
      </c>
      <c r="T164" t="s">
        <v>773</v>
      </c>
    </row>
    <row r="165" spans="1:20" x14ac:dyDescent="0.3">
      <c r="A165" t="s">
        <v>774</v>
      </c>
      <c r="B165" s="1">
        <v>45316</v>
      </c>
      <c r="C165" t="s">
        <v>775</v>
      </c>
      <c r="D165" t="s">
        <v>285</v>
      </c>
      <c r="E165" t="s">
        <v>380</v>
      </c>
      <c r="F165" t="s">
        <v>381</v>
      </c>
      <c r="G165" t="s">
        <v>180</v>
      </c>
      <c r="H165" t="s">
        <v>354</v>
      </c>
      <c r="I165">
        <v>3</v>
      </c>
      <c r="J165">
        <v>465.66</v>
      </c>
      <c r="K165">
        <v>0.1</v>
      </c>
      <c r="L165">
        <v>62.86</v>
      </c>
      <c r="M165">
        <v>0.89</v>
      </c>
      <c r="N165">
        <v>1321.03</v>
      </c>
      <c r="O165" t="s">
        <v>40</v>
      </c>
      <c r="P165" t="s">
        <v>181</v>
      </c>
      <c r="Q165" t="s">
        <v>210</v>
      </c>
      <c r="R165" t="s">
        <v>42</v>
      </c>
      <c r="S165" t="s">
        <v>43</v>
      </c>
      <c r="T165" t="s">
        <v>776</v>
      </c>
    </row>
    <row r="166" spans="1:20" x14ac:dyDescent="0.3">
      <c r="A166" t="s">
        <v>777</v>
      </c>
      <c r="B166" s="1">
        <v>44473</v>
      </c>
      <c r="C166" t="s">
        <v>778</v>
      </c>
      <c r="D166" t="s">
        <v>779</v>
      </c>
      <c r="E166" t="s">
        <v>286</v>
      </c>
      <c r="F166" t="s">
        <v>287</v>
      </c>
      <c r="G166" t="s">
        <v>180</v>
      </c>
      <c r="H166" t="s">
        <v>26</v>
      </c>
      <c r="I166">
        <v>5</v>
      </c>
      <c r="J166">
        <v>35.270000000000003</v>
      </c>
      <c r="K166">
        <v>0</v>
      </c>
      <c r="L166">
        <v>21.16</v>
      </c>
      <c r="M166">
        <v>12.99</v>
      </c>
      <c r="N166">
        <v>210.5</v>
      </c>
      <c r="O166" t="s">
        <v>27</v>
      </c>
      <c r="P166" t="s">
        <v>28</v>
      </c>
      <c r="Q166" t="s">
        <v>166</v>
      </c>
      <c r="R166" t="s">
        <v>167</v>
      </c>
      <c r="S166" t="s">
        <v>43</v>
      </c>
      <c r="T166" t="s">
        <v>780</v>
      </c>
    </row>
    <row r="167" spans="1:20" x14ac:dyDescent="0.3">
      <c r="A167" t="s">
        <v>781</v>
      </c>
      <c r="B167" s="1">
        <v>45623</v>
      </c>
      <c r="C167" t="s">
        <v>782</v>
      </c>
      <c r="D167" t="s">
        <v>447</v>
      </c>
      <c r="E167" t="s">
        <v>783</v>
      </c>
      <c r="F167" t="s">
        <v>784</v>
      </c>
      <c r="G167" t="s">
        <v>38</v>
      </c>
      <c r="H167" t="s">
        <v>39</v>
      </c>
      <c r="I167">
        <v>2</v>
      </c>
      <c r="J167">
        <v>82.5</v>
      </c>
      <c r="K167">
        <v>0.05</v>
      </c>
      <c r="L167">
        <v>18.809999999999999</v>
      </c>
      <c r="M167">
        <v>13.79</v>
      </c>
      <c r="N167">
        <v>189.35</v>
      </c>
      <c r="O167" t="s">
        <v>69</v>
      </c>
      <c r="P167" t="s">
        <v>28</v>
      </c>
      <c r="Q167" t="s">
        <v>228</v>
      </c>
      <c r="R167" t="s">
        <v>82</v>
      </c>
      <c r="S167" t="s">
        <v>43</v>
      </c>
      <c r="T167" t="s">
        <v>785</v>
      </c>
    </row>
    <row r="168" spans="1:20" x14ac:dyDescent="0.3">
      <c r="A168" t="s">
        <v>786</v>
      </c>
      <c r="B168" s="1">
        <v>44859</v>
      </c>
      <c r="C168" t="s">
        <v>787</v>
      </c>
      <c r="D168" t="s">
        <v>641</v>
      </c>
      <c r="E168" t="s">
        <v>151</v>
      </c>
      <c r="F168" t="s">
        <v>152</v>
      </c>
      <c r="G168" t="s">
        <v>38</v>
      </c>
      <c r="H168" t="s">
        <v>68</v>
      </c>
      <c r="I168">
        <v>4</v>
      </c>
      <c r="J168">
        <v>298.95999999999998</v>
      </c>
      <c r="K168">
        <v>0.1</v>
      </c>
      <c r="L168">
        <v>86.1</v>
      </c>
      <c r="M168">
        <v>3.63</v>
      </c>
      <c r="N168">
        <v>1165.99</v>
      </c>
      <c r="O168" t="s">
        <v>40</v>
      </c>
      <c r="P168" t="s">
        <v>28</v>
      </c>
      <c r="Q168" t="s">
        <v>124</v>
      </c>
      <c r="R168" t="s">
        <v>125</v>
      </c>
      <c r="S168" t="s">
        <v>43</v>
      </c>
      <c r="T168" t="s">
        <v>788</v>
      </c>
    </row>
    <row r="169" spans="1:20" x14ac:dyDescent="0.3">
      <c r="A169" t="s">
        <v>789</v>
      </c>
      <c r="B169" s="1">
        <v>45072</v>
      </c>
      <c r="C169" t="s">
        <v>790</v>
      </c>
      <c r="D169" t="s">
        <v>791</v>
      </c>
      <c r="E169" t="s">
        <v>286</v>
      </c>
      <c r="F169" t="s">
        <v>287</v>
      </c>
      <c r="G169" t="s">
        <v>98</v>
      </c>
      <c r="H169" t="s">
        <v>354</v>
      </c>
      <c r="I169">
        <v>5</v>
      </c>
      <c r="J169">
        <v>232.62</v>
      </c>
      <c r="K169">
        <v>0.05</v>
      </c>
      <c r="L169">
        <v>88.4</v>
      </c>
      <c r="M169">
        <v>9.35</v>
      </c>
      <c r="N169">
        <v>1202.7</v>
      </c>
      <c r="O169" t="s">
        <v>69</v>
      </c>
      <c r="P169" t="s">
        <v>132</v>
      </c>
      <c r="Q169" t="s">
        <v>51</v>
      </c>
      <c r="R169" t="s">
        <v>42</v>
      </c>
      <c r="S169" t="s">
        <v>43</v>
      </c>
      <c r="T169" t="s">
        <v>792</v>
      </c>
    </row>
    <row r="170" spans="1:20" x14ac:dyDescent="0.3">
      <c r="A170" t="s">
        <v>793</v>
      </c>
      <c r="B170" s="1">
        <v>44333</v>
      </c>
      <c r="C170" t="s">
        <v>794</v>
      </c>
      <c r="D170" t="s">
        <v>291</v>
      </c>
      <c r="E170" t="s">
        <v>434</v>
      </c>
      <c r="F170" t="s">
        <v>435</v>
      </c>
      <c r="G170" t="s">
        <v>25</v>
      </c>
      <c r="H170" t="s">
        <v>109</v>
      </c>
      <c r="I170">
        <v>4</v>
      </c>
      <c r="J170">
        <v>493.2</v>
      </c>
      <c r="K170">
        <v>0.2</v>
      </c>
      <c r="L170">
        <v>189.39</v>
      </c>
      <c r="M170">
        <v>3.74</v>
      </c>
      <c r="N170">
        <v>1771.37</v>
      </c>
      <c r="O170" t="s">
        <v>153</v>
      </c>
      <c r="P170" t="s">
        <v>28</v>
      </c>
      <c r="Q170" t="s">
        <v>210</v>
      </c>
      <c r="R170" t="s">
        <v>42</v>
      </c>
      <c r="S170" t="s">
        <v>72</v>
      </c>
      <c r="T170" t="s">
        <v>795</v>
      </c>
    </row>
    <row r="171" spans="1:20" x14ac:dyDescent="0.3">
      <c r="A171" t="s">
        <v>796</v>
      </c>
      <c r="B171" s="1">
        <v>44597</v>
      </c>
      <c r="C171" t="s">
        <v>797</v>
      </c>
      <c r="D171" t="s">
        <v>347</v>
      </c>
      <c r="E171" t="s">
        <v>530</v>
      </c>
      <c r="F171" t="s">
        <v>531</v>
      </c>
      <c r="G171" t="s">
        <v>50</v>
      </c>
      <c r="H171" t="s">
        <v>26</v>
      </c>
      <c r="I171">
        <v>4</v>
      </c>
      <c r="J171">
        <v>497.42</v>
      </c>
      <c r="K171">
        <v>0.05</v>
      </c>
      <c r="L171">
        <v>226.82</v>
      </c>
      <c r="M171">
        <v>12.34</v>
      </c>
      <c r="N171">
        <v>2129.36</v>
      </c>
      <c r="O171" t="s">
        <v>27</v>
      </c>
      <c r="P171" t="s">
        <v>28</v>
      </c>
      <c r="Q171" t="s">
        <v>124</v>
      </c>
      <c r="R171" t="s">
        <v>125</v>
      </c>
      <c r="S171" t="s">
        <v>72</v>
      </c>
      <c r="T171" t="s">
        <v>798</v>
      </c>
    </row>
    <row r="172" spans="1:20" x14ac:dyDescent="0.3">
      <c r="A172" t="s">
        <v>799</v>
      </c>
      <c r="B172" s="1">
        <v>44228</v>
      </c>
      <c r="C172" t="s">
        <v>800</v>
      </c>
      <c r="D172" t="s">
        <v>801</v>
      </c>
      <c r="E172" t="s">
        <v>352</v>
      </c>
      <c r="F172" t="s">
        <v>353</v>
      </c>
      <c r="G172" t="s">
        <v>50</v>
      </c>
      <c r="H172" t="s">
        <v>68</v>
      </c>
      <c r="I172">
        <v>1</v>
      </c>
      <c r="J172">
        <v>154.24</v>
      </c>
      <c r="K172">
        <v>0.05</v>
      </c>
      <c r="L172">
        <v>17.579999999999998</v>
      </c>
      <c r="M172">
        <v>9.86</v>
      </c>
      <c r="N172">
        <v>173.97</v>
      </c>
      <c r="O172" t="s">
        <v>80</v>
      </c>
      <c r="P172" t="s">
        <v>28</v>
      </c>
      <c r="Q172" t="s">
        <v>100</v>
      </c>
      <c r="R172" t="s">
        <v>101</v>
      </c>
      <c r="S172" t="s">
        <v>43</v>
      </c>
      <c r="T172" t="s">
        <v>802</v>
      </c>
    </row>
    <row r="173" spans="1:20" x14ac:dyDescent="0.3">
      <c r="A173" t="s">
        <v>803</v>
      </c>
      <c r="B173" s="1">
        <v>44701</v>
      </c>
      <c r="C173" t="s">
        <v>804</v>
      </c>
      <c r="D173" t="s">
        <v>113</v>
      </c>
      <c r="E173" t="s">
        <v>592</v>
      </c>
      <c r="F173" t="s">
        <v>593</v>
      </c>
      <c r="G173" t="s">
        <v>108</v>
      </c>
      <c r="H173" t="s">
        <v>39</v>
      </c>
      <c r="I173">
        <v>3</v>
      </c>
      <c r="J173">
        <v>497.52</v>
      </c>
      <c r="K173">
        <v>0.15</v>
      </c>
      <c r="L173">
        <v>228.36</v>
      </c>
      <c r="M173">
        <v>0.91</v>
      </c>
      <c r="N173">
        <v>1497.95</v>
      </c>
      <c r="O173" t="s">
        <v>69</v>
      </c>
      <c r="P173" t="s">
        <v>28</v>
      </c>
      <c r="Q173" t="s">
        <v>51</v>
      </c>
      <c r="R173" t="s">
        <v>42</v>
      </c>
      <c r="S173" t="s">
        <v>43</v>
      </c>
      <c r="T173" t="s">
        <v>805</v>
      </c>
    </row>
    <row r="174" spans="1:20" x14ac:dyDescent="0.3">
      <c r="A174" t="s">
        <v>806</v>
      </c>
      <c r="B174" s="1">
        <v>44625</v>
      </c>
      <c r="C174" t="s">
        <v>807</v>
      </c>
      <c r="D174" t="s">
        <v>243</v>
      </c>
      <c r="E174" t="s">
        <v>164</v>
      </c>
      <c r="F174" t="s">
        <v>165</v>
      </c>
      <c r="G174" t="s">
        <v>25</v>
      </c>
      <c r="H174" t="s">
        <v>39</v>
      </c>
      <c r="I174">
        <v>4</v>
      </c>
      <c r="J174">
        <v>64.53</v>
      </c>
      <c r="K174">
        <v>0</v>
      </c>
      <c r="L174">
        <v>0</v>
      </c>
      <c r="M174">
        <v>13.67</v>
      </c>
      <c r="N174">
        <v>271.79000000000002</v>
      </c>
      <c r="O174" t="s">
        <v>40</v>
      </c>
      <c r="P174" t="s">
        <v>28</v>
      </c>
      <c r="Q174" t="s">
        <v>139</v>
      </c>
      <c r="R174" t="s">
        <v>140</v>
      </c>
      <c r="S174" t="s">
        <v>43</v>
      </c>
      <c r="T174" t="s">
        <v>808</v>
      </c>
    </row>
    <row r="175" spans="1:20" x14ac:dyDescent="0.3">
      <c r="A175" t="s">
        <v>809</v>
      </c>
      <c r="B175" s="1">
        <v>44223</v>
      </c>
      <c r="C175" t="s">
        <v>810</v>
      </c>
      <c r="D175" t="s">
        <v>811</v>
      </c>
      <c r="E175" t="s">
        <v>812</v>
      </c>
      <c r="F175" t="s">
        <v>813</v>
      </c>
      <c r="G175" t="s">
        <v>180</v>
      </c>
      <c r="H175" t="s">
        <v>256</v>
      </c>
      <c r="I175">
        <v>4</v>
      </c>
      <c r="J175">
        <v>331.21</v>
      </c>
      <c r="K175">
        <v>0</v>
      </c>
      <c r="L175">
        <v>66.239999999999995</v>
      </c>
      <c r="M175">
        <v>5.9</v>
      </c>
      <c r="N175">
        <v>1396.98</v>
      </c>
      <c r="O175" t="s">
        <v>153</v>
      </c>
      <c r="P175" t="s">
        <v>28</v>
      </c>
      <c r="Q175" t="s">
        <v>339</v>
      </c>
      <c r="R175" t="s">
        <v>82</v>
      </c>
      <c r="S175" t="s">
        <v>43</v>
      </c>
      <c r="T175" t="s">
        <v>814</v>
      </c>
    </row>
    <row r="176" spans="1:20" x14ac:dyDescent="0.3">
      <c r="A176" t="s">
        <v>815</v>
      </c>
      <c r="B176" s="1">
        <v>44037</v>
      </c>
      <c r="C176" t="s">
        <v>816</v>
      </c>
      <c r="D176" t="s">
        <v>772</v>
      </c>
      <c r="E176" t="s">
        <v>286</v>
      </c>
      <c r="F176" t="s">
        <v>287</v>
      </c>
      <c r="G176" t="s">
        <v>50</v>
      </c>
      <c r="H176" t="s">
        <v>354</v>
      </c>
      <c r="I176">
        <v>4</v>
      </c>
      <c r="J176">
        <v>155.87</v>
      </c>
      <c r="K176">
        <v>0.1</v>
      </c>
      <c r="L176">
        <v>28.06</v>
      </c>
      <c r="M176">
        <v>7.79</v>
      </c>
      <c r="N176">
        <v>596.98</v>
      </c>
      <c r="O176" t="s">
        <v>69</v>
      </c>
      <c r="P176" t="s">
        <v>28</v>
      </c>
      <c r="Q176" t="s">
        <v>81</v>
      </c>
      <c r="R176" t="s">
        <v>82</v>
      </c>
      <c r="S176" t="s">
        <v>43</v>
      </c>
      <c r="T176" t="s">
        <v>817</v>
      </c>
    </row>
    <row r="177" spans="1:20" x14ac:dyDescent="0.3">
      <c r="A177" t="s">
        <v>818</v>
      </c>
      <c r="B177" s="1">
        <v>44869</v>
      </c>
      <c r="C177" t="s">
        <v>819</v>
      </c>
      <c r="D177" t="s">
        <v>570</v>
      </c>
      <c r="E177" t="s">
        <v>400</v>
      </c>
      <c r="F177" t="s">
        <v>401</v>
      </c>
      <c r="G177" t="s">
        <v>50</v>
      </c>
      <c r="H177" t="s">
        <v>263</v>
      </c>
      <c r="I177">
        <v>1</v>
      </c>
      <c r="J177">
        <v>598.75</v>
      </c>
      <c r="K177">
        <v>0.1</v>
      </c>
      <c r="L177">
        <v>26.94</v>
      </c>
      <c r="M177">
        <v>3.35</v>
      </c>
      <c r="N177">
        <v>569.16999999999996</v>
      </c>
      <c r="O177" t="s">
        <v>69</v>
      </c>
      <c r="P177" t="s">
        <v>181</v>
      </c>
      <c r="Q177" t="s">
        <v>100</v>
      </c>
      <c r="R177" t="s">
        <v>101</v>
      </c>
      <c r="S177" t="s">
        <v>235</v>
      </c>
      <c r="T177" t="s">
        <v>820</v>
      </c>
    </row>
    <row r="178" spans="1:20" x14ac:dyDescent="0.3">
      <c r="A178" t="s">
        <v>821</v>
      </c>
      <c r="B178" s="1">
        <v>45408</v>
      </c>
      <c r="C178" t="s">
        <v>822</v>
      </c>
      <c r="D178" t="s">
        <v>823</v>
      </c>
      <c r="E178" t="s">
        <v>226</v>
      </c>
      <c r="F178" t="s">
        <v>227</v>
      </c>
      <c r="G178" t="s">
        <v>180</v>
      </c>
      <c r="H178" t="s">
        <v>123</v>
      </c>
      <c r="I178">
        <v>5</v>
      </c>
      <c r="J178">
        <v>489.41</v>
      </c>
      <c r="K178">
        <v>0.05</v>
      </c>
      <c r="L178">
        <v>278.95999999999998</v>
      </c>
      <c r="M178">
        <v>7.24</v>
      </c>
      <c r="N178">
        <v>2610.9</v>
      </c>
      <c r="O178" t="s">
        <v>40</v>
      </c>
      <c r="P178" t="s">
        <v>28</v>
      </c>
      <c r="Q178" t="s">
        <v>89</v>
      </c>
      <c r="R178" t="s">
        <v>90</v>
      </c>
      <c r="S178" t="s">
        <v>43</v>
      </c>
      <c r="T178" t="s">
        <v>824</v>
      </c>
    </row>
    <row r="179" spans="1:20" x14ac:dyDescent="0.3">
      <c r="A179" t="s">
        <v>825</v>
      </c>
      <c r="B179" s="1">
        <v>44722</v>
      </c>
      <c r="C179" t="s">
        <v>826</v>
      </c>
      <c r="D179" t="s">
        <v>443</v>
      </c>
      <c r="E179" t="s">
        <v>254</v>
      </c>
      <c r="F179" t="s">
        <v>255</v>
      </c>
      <c r="G179" t="s">
        <v>98</v>
      </c>
      <c r="H179" t="s">
        <v>58</v>
      </c>
      <c r="I179">
        <v>4</v>
      </c>
      <c r="J179">
        <v>131.22</v>
      </c>
      <c r="K179">
        <v>0.1</v>
      </c>
      <c r="L179">
        <v>0</v>
      </c>
      <c r="M179">
        <v>14.12</v>
      </c>
      <c r="N179">
        <v>486.51</v>
      </c>
      <c r="O179" t="s">
        <v>27</v>
      </c>
      <c r="P179" t="s">
        <v>28</v>
      </c>
      <c r="Q179" t="s">
        <v>60</v>
      </c>
      <c r="R179" t="s">
        <v>61</v>
      </c>
      <c r="S179" t="s">
        <v>31</v>
      </c>
      <c r="T179" t="s">
        <v>827</v>
      </c>
    </row>
    <row r="180" spans="1:20" x14ac:dyDescent="0.3">
      <c r="A180" t="s">
        <v>828</v>
      </c>
      <c r="B180" s="1">
        <v>45315</v>
      </c>
      <c r="C180" t="s">
        <v>829</v>
      </c>
      <c r="D180" t="s">
        <v>324</v>
      </c>
      <c r="E180" t="s">
        <v>23</v>
      </c>
      <c r="F180" t="s">
        <v>24</v>
      </c>
      <c r="G180" t="s">
        <v>98</v>
      </c>
      <c r="H180" t="s">
        <v>123</v>
      </c>
      <c r="I180">
        <v>2</v>
      </c>
      <c r="J180">
        <v>176.38</v>
      </c>
      <c r="K180">
        <v>0.05</v>
      </c>
      <c r="L180">
        <v>26.81</v>
      </c>
      <c r="M180">
        <v>11.05</v>
      </c>
      <c r="N180">
        <v>372.98</v>
      </c>
      <c r="O180" t="s">
        <v>153</v>
      </c>
      <c r="P180" t="s">
        <v>28</v>
      </c>
      <c r="Q180" t="s">
        <v>81</v>
      </c>
      <c r="R180" t="s">
        <v>82</v>
      </c>
      <c r="S180" t="s">
        <v>43</v>
      </c>
      <c r="T180" t="s">
        <v>830</v>
      </c>
    </row>
    <row r="181" spans="1:20" x14ac:dyDescent="0.3">
      <c r="A181" t="s">
        <v>831</v>
      </c>
      <c r="B181" s="1">
        <v>45545</v>
      </c>
      <c r="C181" t="s">
        <v>832</v>
      </c>
      <c r="D181" t="s">
        <v>405</v>
      </c>
      <c r="E181" t="s">
        <v>114</v>
      </c>
      <c r="F181" t="s">
        <v>115</v>
      </c>
      <c r="G181" t="s">
        <v>108</v>
      </c>
      <c r="H181" t="s">
        <v>263</v>
      </c>
      <c r="I181">
        <v>1</v>
      </c>
      <c r="J181">
        <v>418.7</v>
      </c>
      <c r="K181">
        <v>0.3</v>
      </c>
      <c r="L181">
        <v>23.45</v>
      </c>
      <c r="M181">
        <v>4.4800000000000004</v>
      </c>
      <c r="N181">
        <v>321.02</v>
      </c>
      <c r="O181" t="s">
        <v>80</v>
      </c>
      <c r="P181" t="s">
        <v>28</v>
      </c>
      <c r="Q181" t="s">
        <v>124</v>
      </c>
      <c r="R181" t="s">
        <v>125</v>
      </c>
      <c r="S181" t="s">
        <v>43</v>
      </c>
      <c r="T181" t="s">
        <v>833</v>
      </c>
    </row>
    <row r="182" spans="1:20" x14ac:dyDescent="0.3">
      <c r="A182" t="s">
        <v>834</v>
      </c>
      <c r="B182" s="1">
        <v>45429</v>
      </c>
      <c r="C182" t="s">
        <v>835</v>
      </c>
      <c r="D182" t="s">
        <v>836</v>
      </c>
      <c r="E182" t="s">
        <v>196</v>
      </c>
      <c r="F182" t="s">
        <v>197</v>
      </c>
      <c r="G182" t="s">
        <v>38</v>
      </c>
      <c r="H182" t="s">
        <v>79</v>
      </c>
      <c r="I182">
        <v>2</v>
      </c>
      <c r="J182">
        <v>531.4</v>
      </c>
      <c r="K182">
        <v>0</v>
      </c>
      <c r="L182">
        <v>127.54</v>
      </c>
      <c r="M182">
        <v>4.49</v>
      </c>
      <c r="N182">
        <v>1194.83</v>
      </c>
      <c r="O182" t="s">
        <v>59</v>
      </c>
      <c r="P182" t="s">
        <v>28</v>
      </c>
      <c r="Q182" t="s">
        <v>210</v>
      </c>
      <c r="R182" t="s">
        <v>42</v>
      </c>
      <c r="S182" t="s">
        <v>43</v>
      </c>
      <c r="T182" t="s">
        <v>837</v>
      </c>
    </row>
    <row r="183" spans="1:20" x14ac:dyDescent="0.3">
      <c r="A183" t="s">
        <v>838</v>
      </c>
      <c r="B183" s="1">
        <v>44694</v>
      </c>
      <c r="C183" t="s">
        <v>839</v>
      </c>
      <c r="D183" t="s">
        <v>373</v>
      </c>
      <c r="E183" t="s">
        <v>352</v>
      </c>
      <c r="F183" t="s">
        <v>353</v>
      </c>
      <c r="G183" t="s">
        <v>25</v>
      </c>
      <c r="H183" t="s">
        <v>263</v>
      </c>
      <c r="I183">
        <v>5</v>
      </c>
      <c r="J183">
        <v>341.7</v>
      </c>
      <c r="K183">
        <v>0.1</v>
      </c>
      <c r="L183">
        <v>276.77999999999997</v>
      </c>
      <c r="M183">
        <v>1.7</v>
      </c>
      <c r="N183">
        <v>1816.13</v>
      </c>
      <c r="O183" t="s">
        <v>40</v>
      </c>
      <c r="P183" t="s">
        <v>28</v>
      </c>
      <c r="Q183" t="s">
        <v>139</v>
      </c>
      <c r="R183" t="s">
        <v>140</v>
      </c>
      <c r="S183" t="s">
        <v>43</v>
      </c>
      <c r="T183" t="s">
        <v>840</v>
      </c>
    </row>
    <row r="184" spans="1:20" x14ac:dyDescent="0.3">
      <c r="A184" t="s">
        <v>841</v>
      </c>
      <c r="B184" s="1">
        <v>44573</v>
      </c>
      <c r="C184" t="s">
        <v>842</v>
      </c>
      <c r="D184" t="s">
        <v>843</v>
      </c>
      <c r="E184" t="s">
        <v>380</v>
      </c>
      <c r="F184" t="s">
        <v>381</v>
      </c>
      <c r="G184" t="s">
        <v>180</v>
      </c>
      <c r="H184" t="s">
        <v>79</v>
      </c>
      <c r="I184">
        <v>2</v>
      </c>
      <c r="J184">
        <v>375.82</v>
      </c>
      <c r="K184">
        <v>0.05</v>
      </c>
      <c r="L184">
        <v>35.700000000000003</v>
      </c>
      <c r="M184">
        <v>13.55</v>
      </c>
      <c r="N184">
        <v>763.31</v>
      </c>
      <c r="O184" t="s">
        <v>40</v>
      </c>
      <c r="P184" t="s">
        <v>181</v>
      </c>
      <c r="Q184" t="s">
        <v>116</v>
      </c>
      <c r="R184" t="s">
        <v>42</v>
      </c>
      <c r="S184" t="s">
        <v>91</v>
      </c>
      <c r="T184" t="s">
        <v>844</v>
      </c>
    </row>
    <row r="185" spans="1:20" x14ac:dyDescent="0.3">
      <c r="A185" t="s">
        <v>845</v>
      </c>
      <c r="B185" s="1">
        <v>45095</v>
      </c>
      <c r="C185" t="s">
        <v>846</v>
      </c>
      <c r="D185" t="s">
        <v>694</v>
      </c>
      <c r="E185" t="s">
        <v>164</v>
      </c>
      <c r="F185" t="s">
        <v>165</v>
      </c>
      <c r="G185" t="s">
        <v>38</v>
      </c>
      <c r="H185" t="s">
        <v>256</v>
      </c>
      <c r="I185">
        <v>3</v>
      </c>
      <c r="J185">
        <v>99.26</v>
      </c>
      <c r="K185">
        <v>0</v>
      </c>
      <c r="L185">
        <v>23.82</v>
      </c>
      <c r="M185">
        <v>5.19</v>
      </c>
      <c r="N185">
        <v>326.79000000000002</v>
      </c>
      <c r="O185" t="s">
        <v>80</v>
      </c>
      <c r="P185" t="s">
        <v>132</v>
      </c>
      <c r="Q185" t="s">
        <v>41</v>
      </c>
      <c r="R185" t="s">
        <v>42</v>
      </c>
      <c r="S185" t="s">
        <v>43</v>
      </c>
      <c r="T185" t="s">
        <v>505</v>
      </c>
    </row>
    <row r="186" spans="1:20" x14ac:dyDescent="0.3">
      <c r="A186" t="s">
        <v>847</v>
      </c>
      <c r="B186" s="1">
        <v>44394</v>
      </c>
      <c r="C186" t="s">
        <v>848</v>
      </c>
      <c r="D186" t="s">
        <v>849</v>
      </c>
      <c r="E186" t="s">
        <v>456</v>
      </c>
      <c r="F186" t="s">
        <v>457</v>
      </c>
      <c r="G186" t="s">
        <v>38</v>
      </c>
      <c r="H186" t="s">
        <v>58</v>
      </c>
      <c r="I186">
        <v>2</v>
      </c>
      <c r="J186">
        <v>572.09</v>
      </c>
      <c r="K186">
        <v>0</v>
      </c>
      <c r="L186">
        <v>91.53</v>
      </c>
      <c r="M186">
        <v>2.64</v>
      </c>
      <c r="N186">
        <v>1238.3499999999999</v>
      </c>
      <c r="O186" t="s">
        <v>69</v>
      </c>
      <c r="P186" t="s">
        <v>132</v>
      </c>
      <c r="Q186" t="s">
        <v>89</v>
      </c>
      <c r="R186" t="s">
        <v>90</v>
      </c>
      <c r="S186" t="s">
        <v>43</v>
      </c>
      <c r="T186" t="s">
        <v>850</v>
      </c>
    </row>
    <row r="187" spans="1:20" x14ac:dyDescent="0.3">
      <c r="A187" t="s">
        <v>851</v>
      </c>
      <c r="B187" s="1">
        <v>44851</v>
      </c>
      <c r="C187" t="s">
        <v>852</v>
      </c>
      <c r="D187" t="s">
        <v>336</v>
      </c>
      <c r="E187" t="s">
        <v>130</v>
      </c>
      <c r="F187" t="s">
        <v>131</v>
      </c>
      <c r="G187" t="s">
        <v>98</v>
      </c>
      <c r="H187" t="s">
        <v>39</v>
      </c>
      <c r="I187">
        <v>2</v>
      </c>
      <c r="J187">
        <v>495.32</v>
      </c>
      <c r="K187">
        <v>0</v>
      </c>
      <c r="L187">
        <v>49.53</v>
      </c>
      <c r="M187">
        <v>10.01</v>
      </c>
      <c r="N187">
        <v>1050.18</v>
      </c>
      <c r="O187" t="s">
        <v>69</v>
      </c>
      <c r="P187" t="s">
        <v>99</v>
      </c>
      <c r="Q187" t="s">
        <v>182</v>
      </c>
      <c r="R187" t="s">
        <v>183</v>
      </c>
      <c r="S187" t="s">
        <v>43</v>
      </c>
      <c r="T187" t="s">
        <v>853</v>
      </c>
    </row>
    <row r="188" spans="1:20" x14ac:dyDescent="0.3">
      <c r="A188" t="s">
        <v>854</v>
      </c>
      <c r="B188" s="1">
        <v>43926</v>
      </c>
      <c r="C188" t="s">
        <v>855</v>
      </c>
      <c r="D188" t="s">
        <v>201</v>
      </c>
      <c r="E188" t="s">
        <v>358</v>
      </c>
      <c r="F188" t="s">
        <v>359</v>
      </c>
      <c r="G188" t="s">
        <v>108</v>
      </c>
      <c r="H188" t="s">
        <v>58</v>
      </c>
      <c r="I188">
        <v>2</v>
      </c>
      <c r="J188">
        <v>190.82</v>
      </c>
      <c r="K188">
        <v>0.2</v>
      </c>
      <c r="L188">
        <v>15.27</v>
      </c>
      <c r="M188">
        <v>7.58</v>
      </c>
      <c r="N188">
        <v>328.16</v>
      </c>
      <c r="O188" t="s">
        <v>27</v>
      </c>
      <c r="P188" t="s">
        <v>28</v>
      </c>
      <c r="Q188" t="s">
        <v>188</v>
      </c>
      <c r="R188" t="s">
        <v>82</v>
      </c>
      <c r="S188" t="s">
        <v>72</v>
      </c>
      <c r="T188" t="s">
        <v>856</v>
      </c>
    </row>
    <row r="189" spans="1:20" x14ac:dyDescent="0.3">
      <c r="A189" t="s">
        <v>857</v>
      </c>
      <c r="B189" s="1">
        <v>45588</v>
      </c>
      <c r="C189" t="s">
        <v>858</v>
      </c>
      <c r="D189" t="s">
        <v>670</v>
      </c>
      <c r="E189" t="s">
        <v>400</v>
      </c>
      <c r="F189" t="s">
        <v>401</v>
      </c>
      <c r="G189" t="s">
        <v>38</v>
      </c>
      <c r="H189" t="s">
        <v>26</v>
      </c>
      <c r="I189">
        <v>1</v>
      </c>
      <c r="J189">
        <v>50.92</v>
      </c>
      <c r="K189">
        <v>0.2</v>
      </c>
      <c r="L189">
        <v>3.26</v>
      </c>
      <c r="M189">
        <v>1.3</v>
      </c>
      <c r="N189">
        <v>45.3</v>
      </c>
      <c r="O189" t="s">
        <v>153</v>
      </c>
      <c r="P189" t="s">
        <v>28</v>
      </c>
      <c r="Q189" t="s">
        <v>166</v>
      </c>
      <c r="R189" t="s">
        <v>167</v>
      </c>
      <c r="S189" t="s">
        <v>43</v>
      </c>
      <c r="T189" t="s">
        <v>859</v>
      </c>
    </row>
    <row r="190" spans="1:20" x14ac:dyDescent="0.3">
      <c r="A190" t="s">
        <v>860</v>
      </c>
      <c r="B190" s="1">
        <v>44315</v>
      </c>
      <c r="C190" t="s">
        <v>861</v>
      </c>
      <c r="D190" t="s">
        <v>86</v>
      </c>
      <c r="E190" t="s">
        <v>178</v>
      </c>
      <c r="F190" t="s">
        <v>179</v>
      </c>
      <c r="G190" t="s">
        <v>98</v>
      </c>
      <c r="H190" t="s">
        <v>256</v>
      </c>
      <c r="I190">
        <v>5</v>
      </c>
      <c r="J190">
        <v>129.25</v>
      </c>
      <c r="K190">
        <v>0.15</v>
      </c>
      <c r="L190">
        <v>43.94</v>
      </c>
      <c r="M190">
        <v>6.24</v>
      </c>
      <c r="N190">
        <v>599.49</v>
      </c>
      <c r="O190" t="s">
        <v>69</v>
      </c>
      <c r="P190" t="s">
        <v>132</v>
      </c>
      <c r="Q190" t="s">
        <v>60</v>
      </c>
      <c r="R190" t="s">
        <v>61</v>
      </c>
      <c r="S190" t="s">
        <v>43</v>
      </c>
      <c r="T190" t="s">
        <v>862</v>
      </c>
    </row>
    <row r="191" spans="1:20" x14ac:dyDescent="0.3">
      <c r="A191" t="s">
        <v>863</v>
      </c>
      <c r="B191" s="1">
        <v>45261</v>
      </c>
      <c r="C191" t="s">
        <v>864</v>
      </c>
      <c r="D191" t="s">
        <v>865</v>
      </c>
      <c r="E191" t="s">
        <v>121</v>
      </c>
      <c r="F191" t="s">
        <v>122</v>
      </c>
      <c r="G191" t="s">
        <v>108</v>
      </c>
      <c r="H191" t="s">
        <v>58</v>
      </c>
      <c r="I191">
        <v>3</v>
      </c>
      <c r="J191">
        <v>416.84</v>
      </c>
      <c r="K191">
        <v>0.15</v>
      </c>
      <c r="L191">
        <v>85.04</v>
      </c>
      <c r="M191">
        <v>14.4</v>
      </c>
      <c r="N191">
        <v>1162.3800000000001</v>
      </c>
      <c r="O191" t="s">
        <v>27</v>
      </c>
      <c r="P191" t="s">
        <v>28</v>
      </c>
      <c r="Q191" t="s">
        <v>182</v>
      </c>
      <c r="R191" t="s">
        <v>183</v>
      </c>
      <c r="S191" t="s">
        <v>43</v>
      </c>
      <c r="T191" t="s">
        <v>866</v>
      </c>
    </row>
    <row r="192" spans="1:20" x14ac:dyDescent="0.3">
      <c r="A192" t="s">
        <v>867</v>
      </c>
      <c r="B192" s="1">
        <v>44061</v>
      </c>
      <c r="C192" t="s">
        <v>868</v>
      </c>
      <c r="D192" t="s">
        <v>637</v>
      </c>
      <c r="E192" t="s">
        <v>87</v>
      </c>
      <c r="F192" t="s">
        <v>88</v>
      </c>
      <c r="G192" t="s">
        <v>108</v>
      </c>
      <c r="H192" t="s">
        <v>68</v>
      </c>
      <c r="I192">
        <v>5</v>
      </c>
      <c r="J192">
        <v>319.27999999999997</v>
      </c>
      <c r="K192">
        <v>0.05</v>
      </c>
      <c r="L192">
        <v>75.83</v>
      </c>
      <c r="M192">
        <v>12.39</v>
      </c>
      <c r="N192">
        <v>1604.8</v>
      </c>
      <c r="O192" t="s">
        <v>40</v>
      </c>
      <c r="P192" t="s">
        <v>28</v>
      </c>
      <c r="Q192" t="s">
        <v>188</v>
      </c>
      <c r="R192" t="s">
        <v>82</v>
      </c>
      <c r="S192" t="s">
        <v>43</v>
      </c>
      <c r="T192" t="s">
        <v>869</v>
      </c>
    </row>
    <row r="193" spans="1:20" x14ac:dyDescent="0.3">
      <c r="A193" t="s">
        <v>870</v>
      </c>
      <c r="B193" s="1">
        <v>44579</v>
      </c>
      <c r="C193" t="s">
        <v>871</v>
      </c>
      <c r="D193" t="s">
        <v>192</v>
      </c>
      <c r="E193" t="s">
        <v>36</v>
      </c>
      <c r="F193" t="s">
        <v>37</v>
      </c>
      <c r="G193" t="s">
        <v>25</v>
      </c>
      <c r="H193" t="s">
        <v>58</v>
      </c>
      <c r="I193">
        <v>2</v>
      </c>
      <c r="J193">
        <v>67.540000000000006</v>
      </c>
      <c r="K193">
        <v>0.05</v>
      </c>
      <c r="L193">
        <v>10.27</v>
      </c>
      <c r="M193">
        <v>1.64</v>
      </c>
      <c r="N193">
        <v>140.24</v>
      </c>
      <c r="O193" t="s">
        <v>40</v>
      </c>
      <c r="P193" t="s">
        <v>28</v>
      </c>
      <c r="Q193" t="s">
        <v>71</v>
      </c>
      <c r="R193" t="s">
        <v>42</v>
      </c>
      <c r="S193" t="s">
        <v>72</v>
      </c>
      <c r="T193" t="s">
        <v>872</v>
      </c>
    </row>
    <row r="194" spans="1:20" x14ac:dyDescent="0.3">
      <c r="A194" t="s">
        <v>873</v>
      </c>
      <c r="B194" s="1">
        <v>45509</v>
      </c>
      <c r="C194" t="s">
        <v>874</v>
      </c>
      <c r="D194" t="s">
        <v>570</v>
      </c>
      <c r="E194" t="s">
        <v>337</v>
      </c>
      <c r="F194" t="s">
        <v>338</v>
      </c>
      <c r="G194" t="s">
        <v>98</v>
      </c>
      <c r="H194" t="s">
        <v>79</v>
      </c>
      <c r="I194">
        <v>2</v>
      </c>
      <c r="J194">
        <v>289.23</v>
      </c>
      <c r="K194">
        <v>0.1</v>
      </c>
      <c r="L194">
        <v>0</v>
      </c>
      <c r="M194">
        <v>13.08</v>
      </c>
      <c r="N194">
        <v>533.69000000000005</v>
      </c>
      <c r="O194" t="s">
        <v>40</v>
      </c>
      <c r="P194" t="s">
        <v>28</v>
      </c>
      <c r="Q194" t="s">
        <v>154</v>
      </c>
      <c r="R194" t="s">
        <v>155</v>
      </c>
      <c r="S194" t="s">
        <v>43</v>
      </c>
      <c r="T194" t="s">
        <v>875</v>
      </c>
    </row>
    <row r="195" spans="1:20" x14ac:dyDescent="0.3">
      <c r="A195" t="s">
        <v>876</v>
      </c>
      <c r="B195" s="1">
        <v>45025</v>
      </c>
      <c r="C195" t="s">
        <v>877</v>
      </c>
      <c r="D195" t="s">
        <v>620</v>
      </c>
      <c r="E195" t="s">
        <v>233</v>
      </c>
      <c r="F195" t="s">
        <v>234</v>
      </c>
      <c r="G195" t="s">
        <v>38</v>
      </c>
      <c r="H195" t="s">
        <v>79</v>
      </c>
      <c r="I195">
        <v>2</v>
      </c>
      <c r="J195">
        <v>373.58</v>
      </c>
      <c r="K195">
        <v>0.2</v>
      </c>
      <c r="L195">
        <v>47.82</v>
      </c>
      <c r="M195">
        <v>8.74</v>
      </c>
      <c r="N195">
        <v>654.29</v>
      </c>
      <c r="O195" t="s">
        <v>69</v>
      </c>
      <c r="P195" t="s">
        <v>28</v>
      </c>
      <c r="Q195" t="s">
        <v>339</v>
      </c>
      <c r="R195" t="s">
        <v>82</v>
      </c>
      <c r="S195" t="s">
        <v>43</v>
      </c>
      <c r="T195" t="s">
        <v>878</v>
      </c>
    </row>
    <row r="196" spans="1:20" x14ac:dyDescent="0.3">
      <c r="A196" t="s">
        <v>879</v>
      </c>
      <c r="B196" s="1">
        <v>44371</v>
      </c>
      <c r="C196" t="s">
        <v>880</v>
      </c>
      <c r="D196" t="s">
        <v>881</v>
      </c>
      <c r="E196" t="s">
        <v>319</v>
      </c>
      <c r="F196" t="s">
        <v>320</v>
      </c>
      <c r="G196" t="s">
        <v>108</v>
      </c>
      <c r="H196" t="s">
        <v>58</v>
      </c>
      <c r="I196">
        <v>4</v>
      </c>
      <c r="J196">
        <v>359.89</v>
      </c>
      <c r="K196">
        <v>0.05</v>
      </c>
      <c r="L196">
        <v>68.38</v>
      </c>
      <c r="M196">
        <v>13.15</v>
      </c>
      <c r="N196">
        <v>1449.11</v>
      </c>
      <c r="O196" t="s">
        <v>69</v>
      </c>
      <c r="P196" t="s">
        <v>28</v>
      </c>
      <c r="Q196" t="s">
        <v>29</v>
      </c>
      <c r="R196" t="s">
        <v>30</v>
      </c>
      <c r="S196" t="s">
        <v>43</v>
      </c>
      <c r="T196" t="s">
        <v>882</v>
      </c>
    </row>
    <row r="197" spans="1:20" x14ac:dyDescent="0.3">
      <c r="A197" t="s">
        <v>883</v>
      </c>
      <c r="B197" s="1">
        <v>44890</v>
      </c>
      <c r="C197" t="s">
        <v>884</v>
      </c>
      <c r="D197" t="s">
        <v>885</v>
      </c>
      <c r="E197" t="s">
        <v>456</v>
      </c>
      <c r="F197" t="s">
        <v>457</v>
      </c>
      <c r="G197" t="s">
        <v>98</v>
      </c>
      <c r="H197" t="s">
        <v>354</v>
      </c>
      <c r="I197">
        <v>5</v>
      </c>
      <c r="J197">
        <v>449.1</v>
      </c>
      <c r="K197">
        <v>0.1</v>
      </c>
      <c r="L197">
        <v>101.05</v>
      </c>
      <c r="M197">
        <v>7.48</v>
      </c>
      <c r="N197">
        <v>2129.48</v>
      </c>
      <c r="O197" t="s">
        <v>153</v>
      </c>
      <c r="P197" t="s">
        <v>28</v>
      </c>
      <c r="Q197" t="s">
        <v>188</v>
      </c>
      <c r="R197" t="s">
        <v>82</v>
      </c>
      <c r="S197" t="s">
        <v>43</v>
      </c>
      <c r="T197" t="s">
        <v>44</v>
      </c>
    </row>
    <row r="198" spans="1:20" x14ac:dyDescent="0.3">
      <c r="A198" t="s">
        <v>886</v>
      </c>
      <c r="B198" s="1">
        <v>44355</v>
      </c>
      <c r="C198" t="s">
        <v>887</v>
      </c>
      <c r="D198" t="s">
        <v>271</v>
      </c>
      <c r="E198" t="s">
        <v>286</v>
      </c>
      <c r="F198" t="s">
        <v>287</v>
      </c>
      <c r="G198" t="s">
        <v>180</v>
      </c>
      <c r="H198" t="s">
        <v>79</v>
      </c>
      <c r="I198">
        <v>3</v>
      </c>
      <c r="J198">
        <v>270.41000000000003</v>
      </c>
      <c r="K198">
        <v>0.1</v>
      </c>
      <c r="L198">
        <v>36.51</v>
      </c>
      <c r="M198">
        <v>3.91</v>
      </c>
      <c r="N198">
        <v>770.53</v>
      </c>
      <c r="O198" t="s">
        <v>40</v>
      </c>
      <c r="P198" t="s">
        <v>28</v>
      </c>
      <c r="Q198" t="s">
        <v>116</v>
      </c>
      <c r="R198" t="s">
        <v>42</v>
      </c>
      <c r="S198" t="s">
        <v>43</v>
      </c>
      <c r="T198" t="s">
        <v>888</v>
      </c>
    </row>
    <row r="199" spans="1:20" x14ac:dyDescent="0.3">
      <c r="A199" t="s">
        <v>889</v>
      </c>
      <c r="B199" s="1">
        <v>45014</v>
      </c>
      <c r="C199" t="s">
        <v>890</v>
      </c>
      <c r="D199" t="s">
        <v>249</v>
      </c>
      <c r="E199" t="s">
        <v>233</v>
      </c>
      <c r="F199" t="s">
        <v>234</v>
      </c>
      <c r="G199" t="s">
        <v>38</v>
      </c>
      <c r="H199" t="s">
        <v>263</v>
      </c>
      <c r="I199">
        <v>2</v>
      </c>
      <c r="J199">
        <v>387.31</v>
      </c>
      <c r="K199">
        <v>0</v>
      </c>
      <c r="L199">
        <v>92.95</v>
      </c>
      <c r="M199">
        <v>7.12</v>
      </c>
      <c r="N199">
        <v>874.69</v>
      </c>
      <c r="O199" t="s">
        <v>27</v>
      </c>
      <c r="P199" t="s">
        <v>28</v>
      </c>
      <c r="Q199" t="s">
        <v>228</v>
      </c>
      <c r="R199" t="s">
        <v>82</v>
      </c>
      <c r="S199" t="s">
        <v>43</v>
      </c>
      <c r="T199" t="s">
        <v>891</v>
      </c>
    </row>
    <row r="200" spans="1:20" x14ac:dyDescent="0.3">
      <c r="A200" t="s">
        <v>892</v>
      </c>
      <c r="B200" s="1">
        <v>45553</v>
      </c>
      <c r="C200" t="s">
        <v>893</v>
      </c>
      <c r="D200" t="s">
        <v>894</v>
      </c>
      <c r="E200" t="s">
        <v>521</v>
      </c>
      <c r="F200" t="s">
        <v>522</v>
      </c>
      <c r="G200" t="s">
        <v>25</v>
      </c>
      <c r="H200" t="s">
        <v>109</v>
      </c>
      <c r="I200">
        <v>3</v>
      </c>
      <c r="J200">
        <v>272.14</v>
      </c>
      <c r="K200">
        <v>0</v>
      </c>
      <c r="L200">
        <v>97.97</v>
      </c>
      <c r="M200">
        <v>11.16</v>
      </c>
      <c r="N200">
        <v>925.55</v>
      </c>
      <c r="O200" t="s">
        <v>80</v>
      </c>
      <c r="P200" t="s">
        <v>28</v>
      </c>
      <c r="Q200" t="s">
        <v>339</v>
      </c>
      <c r="R200" t="s">
        <v>82</v>
      </c>
      <c r="S200" t="s">
        <v>72</v>
      </c>
      <c r="T200" t="s">
        <v>895</v>
      </c>
    </row>
    <row r="201" spans="1:20" x14ac:dyDescent="0.3">
      <c r="A201" t="s">
        <v>896</v>
      </c>
      <c r="B201" s="1">
        <v>45097</v>
      </c>
      <c r="C201" t="s">
        <v>897</v>
      </c>
      <c r="D201" t="s">
        <v>385</v>
      </c>
      <c r="E201" t="s">
        <v>574</v>
      </c>
      <c r="F201" t="s">
        <v>575</v>
      </c>
      <c r="G201" t="s">
        <v>38</v>
      </c>
      <c r="H201" t="s">
        <v>256</v>
      </c>
      <c r="I201">
        <v>1</v>
      </c>
      <c r="J201">
        <v>420.62</v>
      </c>
      <c r="K201">
        <v>0</v>
      </c>
      <c r="L201">
        <v>21.03</v>
      </c>
      <c r="M201">
        <v>5.69</v>
      </c>
      <c r="N201">
        <v>447.34</v>
      </c>
      <c r="O201" t="s">
        <v>40</v>
      </c>
      <c r="P201" t="s">
        <v>132</v>
      </c>
      <c r="Q201" t="s">
        <v>210</v>
      </c>
      <c r="R201" t="s">
        <v>42</v>
      </c>
      <c r="S201" t="s">
        <v>43</v>
      </c>
      <c r="T201" t="s">
        <v>898</v>
      </c>
    </row>
    <row r="202" spans="1:20" x14ac:dyDescent="0.3">
      <c r="A202" t="s">
        <v>899</v>
      </c>
      <c r="B202" s="1">
        <v>44940</v>
      </c>
      <c r="C202" t="s">
        <v>900</v>
      </c>
      <c r="D202" t="s">
        <v>163</v>
      </c>
      <c r="E202" t="s">
        <v>106</v>
      </c>
      <c r="F202" t="s">
        <v>107</v>
      </c>
      <c r="G202" t="s">
        <v>50</v>
      </c>
      <c r="H202" t="s">
        <v>123</v>
      </c>
      <c r="I202">
        <v>4</v>
      </c>
      <c r="J202">
        <v>575.92999999999995</v>
      </c>
      <c r="K202">
        <v>0</v>
      </c>
      <c r="L202">
        <v>0</v>
      </c>
      <c r="M202">
        <v>14.5</v>
      </c>
      <c r="N202">
        <v>2318.2199999999998</v>
      </c>
      <c r="O202" t="s">
        <v>69</v>
      </c>
      <c r="P202" t="s">
        <v>28</v>
      </c>
      <c r="Q202" t="s">
        <v>210</v>
      </c>
      <c r="R202" t="s">
        <v>42</v>
      </c>
      <c r="S202" t="s">
        <v>31</v>
      </c>
      <c r="T202" t="s">
        <v>901</v>
      </c>
    </row>
    <row r="203" spans="1:20" x14ac:dyDescent="0.3">
      <c r="A203" t="s">
        <v>902</v>
      </c>
      <c r="B203" s="1">
        <v>45650</v>
      </c>
      <c r="C203" t="s">
        <v>903</v>
      </c>
      <c r="D203" t="s">
        <v>904</v>
      </c>
      <c r="E203" t="s">
        <v>233</v>
      </c>
      <c r="F203" t="s">
        <v>234</v>
      </c>
      <c r="G203" t="s">
        <v>98</v>
      </c>
      <c r="H203" t="s">
        <v>26</v>
      </c>
      <c r="I203">
        <v>5</v>
      </c>
      <c r="J203">
        <v>167.97</v>
      </c>
      <c r="K203">
        <v>0</v>
      </c>
      <c r="L203">
        <v>0</v>
      </c>
      <c r="M203">
        <v>8.35</v>
      </c>
      <c r="N203">
        <v>848.2</v>
      </c>
      <c r="O203" t="s">
        <v>80</v>
      </c>
      <c r="P203" t="s">
        <v>28</v>
      </c>
      <c r="Q203" t="s">
        <v>210</v>
      </c>
      <c r="R203" t="s">
        <v>42</v>
      </c>
      <c r="S203" t="s">
        <v>43</v>
      </c>
      <c r="T203" t="s">
        <v>905</v>
      </c>
    </row>
    <row r="204" spans="1:20" x14ac:dyDescent="0.3">
      <c r="A204" t="s">
        <v>906</v>
      </c>
      <c r="B204" s="1">
        <v>44408</v>
      </c>
      <c r="C204" t="s">
        <v>907</v>
      </c>
      <c r="D204" t="s">
        <v>76</v>
      </c>
      <c r="E204" t="s">
        <v>215</v>
      </c>
      <c r="F204" t="s">
        <v>216</v>
      </c>
      <c r="G204" t="s">
        <v>98</v>
      </c>
      <c r="H204" t="s">
        <v>39</v>
      </c>
      <c r="I204">
        <v>5</v>
      </c>
      <c r="J204">
        <v>471.14</v>
      </c>
      <c r="K204">
        <v>0</v>
      </c>
      <c r="L204">
        <v>188.46</v>
      </c>
      <c r="M204">
        <v>4.18</v>
      </c>
      <c r="N204">
        <v>2548.34</v>
      </c>
      <c r="O204" t="s">
        <v>40</v>
      </c>
      <c r="P204" t="s">
        <v>28</v>
      </c>
      <c r="Q204" t="s">
        <v>100</v>
      </c>
      <c r="R204" t="s">
        <v>101</v>
      </c>
      <c r="S204" t="s">
        <v>72</v>
      </c>
      <c r="T204" t="s">
        <v>908</v>
      </c>
    </row>
    <row r="205" spans="1:20" x14ac:dyDescent="0.3">
      <c r="A205" t="s">
        <v>909</v>
      </c>
      <c r="B205" s="1">
        <v>44512</v>
      </c>
      <c r="C205" t="s">
        <v>910</v>
      </c>
      <c r="D205" t="s">
        <v>267</v>
      </c>
      <c r="E205" t="s">
        <v>56</v>
      </c>
      <c r="F205" t="s">
        <v>57</v>
      </c>
      <c r="G205" t="s">
        <v>98</v>
      </c>
      <c r="H205" t="s">
        <v>39</v>
      </c>
      <c r="I205">
        <v>3</v>
      </c>
      <c r="J205">
        <v>461.7</v>
      </c>
      <c r="K205">
        <v>0.05</v>
      </c>
      <c r="L205">
        <v>65.790000000000006</v>
      </c>
      <c r="M205">
        <v>13.58</v>
      </c>
      <c r="N205">
        <v>1395.21</v>
      </c>
      <c r="O205" t="s">
        <v>69</v>
      </c>
      <c r="P205" t="s">
        <v>181</v>
      </c>
      <c r="Q205" t="s">
        <v>41</v>
      </c>
      <c r="R205" t="s">
        <v>42</v>
      </c>
      <c r="S205" t="s">
        <v>31</v>
      </c>
      <c r="T205" t="s">
        <v>911</v>
      </c>
    </row>
    <row r="206" spans="1:20" x14ac:dyDescent="0.3">
      <c r="A206" t="s">
        <v>912</v>
      </c>
      <c r="B206" s="1">
        <v>44387</v>
      </c>
      <c r="C206" t="s">
        <v>913</v>
      </c>
      <c r="D206" t="s">
        <v>129</v>
      </c>
      <c r="E206" t="s">
        <v>226</v>
      </c>
      <c r="F206" t="s">
        <v>227</v>
      </c>
      <c r="G206" t="s">
        <v>108</v>
      </c>
      <c r="H206" t="s">
        <v>256</v>
      </c>
      <c r="I206">
        <v>2</v>
      </c>
      <c r="J206">
        <v>303.77</v>
      </c>
      <c r="K206">
        <v>0.25</v>
      </c>
      <c r="L206">
        <v>22.78</v>
      </c>
      <c r="M206">
        <v>11.47</v>
      </c>
      <c r="N206">
        <v>489.9</v>
      </c>
      <c r="O206" t="s">
        <v>80</v>
      </c>
      <c r="P206" t="s">
        <v>28</v>
      </c>
      <c r="Q206" t="s">
        <v>221</v>
      </c>
      <c r="R206" t="s">
        <v>222</v>
      </c>
      <c r="S206" t="s">
        <v>91</v>
      </c>
      <c r="T206" t="s">
        <v>914</v>
      </c>
    </row>
    <row r="207" spans="1:20" x14ac:dyDescent="0.3">
      <c r="A207" t="s">
        <v>915</v>
      </c>
      <c r="B207" s="1">
        <v>45428</v>
      </c>
      <c r="C207" t="s">
        <v>916</v>
      </c>
      <c r="D207" t="s">
        <v>336</v>
      </c>
      <c r="E207" t="s">
        <v>492</v>
      </c>
      <c r="F207" t="s">
        <v>493</v>
      </c>
      <c r="G207" t="s">
        <v>180</v>
      </c>
      <c r="H207" t="s">
        <v>354</v>
      </c>
      <c r="I207">
        <v>4</v>
      </c>
      <c r="J207">
        <v>312.36</v>
      </c>
      <c r="K207">
        <v>0.1</v>
      </c>
      <c r="L207">
        <v>0</v>
      </c>
      <c r="M207">
        <v>2.52</v>
      </c>
      <c r="N207">
        <v>1127.02</v>
      </c>
      <c r="O207" t="s">
        <v>69</v>
      </c>
      <c r="P207" t="s">
        <v>28</v>
      </c>
      <c r="Q207" t="s">
        <v>221</v>
      </c>
      <c r="R207" t="s">
        <v>222</v>
      </c>
      <c r="S207" t="s">
        <v>43</v>
      </c>
      <c r="T207" t="s">
        <v>917</v>
      </c>
    </row>
    <row r="208" spans="1:20" x14ac:dyDescent="0.3">
      <c r="A208" t="s">
        <v>918</v>
      </c>
      <c r="B208" s="1">
        <v>44843</v>
      </c>
      <c r="C208" t="s">
        <v>919</v>
      </c>
      <c r="D208" t="s">
        <v>207</v>
      </c>
      <c r="E208" t="s">
        <v>121</v>
      </c>
      <c r="F208" t="s">
        <v>122</v>
      </c>
      <c r="G208" t="s">
        <v>25</v>
      </c>
      <c r="H208" t="s">
        <v>58</v>
      </c>
      <c r="I208">
        <v>3</v>
      </c>
      <c r="J208">
        <v>59.09</v>
      </c>
      <c r="K208">
        <v>0.15</v>
      </c>
      <c r="L208">
        <v>0</v>
      </c>
      <c r="M208">
        <v>14.12</v>
      </c>
      <c r="N208">
        <v>164.8</v>
      </c>
      <c r="O208" t="s">
        <v>153</v>
      </c>
      <c r="P208" t="s">
        <v>28</v>
      </c>
      <c r="Q208" t="s">
        <v>89</v>
      </c>
      <c r="R208" t="s">
        <v>90</v>
      </c>
      <c r="S208" t="s">
        <v>31</v>
      </c>
      <c r="T208" t="s">
        <v>920</v>
      </c>
    </row>
    <row r="209" spans="1:20" x14ac:dyDescent="0.3">
      <c r="A209" t="s">
        <v>921</v>
      </c>
      <c r="B209" s="1">
        <v>44476</v>
      </c>
      <c r="C209" t="s">
        <v>922</v>
      </c>
      <c r="D209" t="s">
        <v>923</v>
      </c>
      <c r="E209" t="s">
        <v>302</v>
      </c>
      <c r="F209" t="s">
        <v>303</v>
      </c>
      <c r="G209" t="s">
        <v>25</v>
      </c>
      <c r="H209" t="s">
        <v>79</v>
      </c>
      <c r="I209">
        <v>1</v>
      </c>
      <c r="J209">
        <v>266.91000000000003</v>
      </c>
      <c r="K209">
        <v>0.05</v>
      </c>
      <c r="L209">
        <v>20.29</v>
      </c>
      <c r="M209">
        <v>7.33</v>
      </c>
      <c r="N209">
        <v>281.18</v>
      </c>
      <c r="O209" t="s">
        <v>40</v>
      </c>
      <c r="P209" t="s">
        <v>28</v>
      </c>
      <c r="Q209" t="s">
        <v>182</v>
      </c>
      <c r="R209" t="s">
        <v>183</v>
      </c>
      <c r="S209" t="s">
        <v>31</v>
      </c>
      <c r="T209" t="s">
        <v>924</v>
      </c>
    </row>
    <row r="210" spans="1:20" x14ac:dyDescent="0.3">
      <c r="A210" t="s">
        <v>925</v>
      </c>
      <c r="B210" s="1">
        <v>44626</v>
      </c>
      <c r="C210" t="s">
        <v>926</v>
      </c>
      <c r="D210" t="s">
        <v>611</v>
      </c>
      <c r="E210" t="s">
        <v>106</v>
      </c>
      <c r="F210" t="s">
        <v>107</v>
      </c>
      <c r="G210" t="s">
        <v>180</v>
      </c>
      <c r="H210" t="s">
        <v>68</v>
      </c>
      <c r="I210">
        <v>3</v>
      </c>
      <c r="J210">
        <v>568.01</v>
      </c>
      <c r="K210">
        <v>0</v>
      </c>
      <c r="L210">
        <v>0</v>
      </c>
      <c r="M210">
        <v>12.94</v>
      </c>
      <c r="N210">
        <v>1716.97</v>
      </c>
      <c r="O210" t="s">
        <v>69</v>
      </c>
      <c r="P210" t="s">
        <v>28</v>
      </c>
      <c r="Q210" t="s">
        <v>339</v>
      </c>
      <c r="R210" t="s">
        <v>82</v>
      </c>
      <c r="S210" t="s">
        <v>235</v>
      </c>
      <c r="T210" t="s">
        <v>798</v>
      </c>
    </row>
    <row r="211" spans="1:20" x14ac:dyDescent="0.3">
      <c r="A211" t="s">
        <v>927</v>
      </c>
      <c r="B211" s="1">
        <v>44882</v>
      </c>
      <c r="C211" t="s">
        <v>928</v>
      </c>
      <c r="D211" t="s">
        <v>260</v>
      </c>
      <c r="E211" t="s">
        <v>358</v>
      </c>
      <c r="F211" t="s">
        <v>359</v>
      </c>
      <c r="G211" t="s">
        <v>25</v>
      </c>
      <c r="H211" t="s">
        <v>39</v>
      </c>
      <c r="I211">
        <v>2</v>
      </c>
      <c r="J211">
        <v>454.72</v>
      </c>
      <c r="K211">
        <v>0.05</v>
      </c>
      <c r="L211">
        <v>69.12</v>
      </c>
      <c r="M211">
        <v>0.31</v>
      </c>
      <c r="N211">
        <v>933.4</v>
      </c>
      <c r="O211" t="s">
        <v>153</v>
      </c>
      <c r="P211" t="s">
        <v>132</v>
      </c>
      <c r="Q211" t="s">
        <v>81</v>
      </c>
      <c r="R211" t="s">
        <v>82</v>
      </c>
      <c r="S211" t="s">
        <v>31</v>
      </c>
      <c r="T211" t="s">
        <v>929</v>
      </c>
    </row>
    <row r="212" spans="1:20" x14ac:dyDescent="0.3">
      <c r="A212" t="s">
        <v>930</v>
      </c>
      <c r="B212" s="1">
        <v>45474</v>
      </c>
      <c r="C212" t="s">
        <v>931</v>
      </c>
      <c r="D212" t="s">
        <v>474</v>
      </c>
      <c r="E212" t="s">
        <v>151</v>
      </c>
      <c r="F212" t="s">
        <v>152</v>
      </c>
      <c r="G212" t="s">
        <v>25</v>
      </c>
      <c r="H212" t="s">
        <v>26</v>
      </c>
      <c r="I212">
        <v>3</v>
      </c>
      <c r="J212">
        <v>189.12</v>
      </c>
      <c r="K212">
        <v>0.2</v>
      </c>
      <c r="L212">
        <v>36.31</v>
      </c>
      <c r="M212">
        <v>3.6</v>
      </c>
      <c r="N212">
        <v>493.8</v>
      </c>
      <c r="O212" t="s">
        <v>27</v>
      </c>
      <c r="P212" t="s">
        <v>28</v>
      </c>
      <c r="Q212" t="s">
        <v>139</v>
      </c>
      <c r="R212" t="s">
        <v>140</v>
      </c>
      <c r="S212" t="s">
        <v>235</v>
      </c>
      <c r="T212" t="s">
        <v>932</v>
      </c>
    </row>
    <row r="213" spans="1:20" x14ac:dyDescent="0.3">
      <c r="A213" t="s">
        <v>933</v>
      </c>
      <c r="B213" s="1">
        <v>45410</v>
      </c>
      <c r="C213" t="s">
        <v>934</v>
      </c>
      <c r="D213" t="s">
        <v>307</v>
      </c>
      <c r="E213" t="s">
        <v>280</v>
      </c>
      <c r="F213" t="s">
        <v>281</v>
      </c>
      <c r="G213" t="s">
        <v>38</v>
      </c>
      <c r="H213" t="s">
        <v>26</v>
      </c>
      <c r="I213">
        <v>5</v>
      </c>
      <c r="J213">
        <v>104.68</v>
      </c>
      <c r="K213">
        <v>0.15</v>
      </c>
      <c r="L213">
        <v>35.590000000000003</v>
      </c>
      <c r="M213">
        <v>2.38</v>
      </c>
      <c r="N213">
        <v>482.86</v>
      </c>
      <c r="O213" t="s">
        <v>80</v>
      </c>
      <c r="P213" t="s">
        <v>28</v>
      </c>
      <c r="Q213" t="s">
        <v>29</v>
      </c>
      <c r="R213" t="s">
        <v>30</v>
      </c>
      <c r="S213" t="s">
        <v>43</v>
      </c>
      <c r="T213" t="s">
        <v>935</v>
      </c>
    </row>
    <row r="214" spans="1:20" x14ac:dyDescent="0.3">
      <c r="A214" t="s">
        <v>936</v>
      </c>
      <c r="B214" s="1">
        <v>45194</v>
      </c>
      <c r="C214" t="s">
        <v>937</v>
      </c>
      <c r="D214" t="s">
        <v>652</v>
      </c>
      <c r="E214" t="s">
        <v>358</v>
      </c>
      <c r="F214" t="s">
        <v>359</v>
      </c>
      <c r="G214" t="s">
        <v>108</v>
      </c>
      <c r="H214" t="s">
        <v>26</v>
      </c>
      <c r="I214">
        <v>2</v>
      </c>
      <c r="J214">
        <v>116.03</v>
      </c>
      <c r="K214">
        <v>0.2</v>
      </c>
      <c r="L214">
        <v>14.85</v>
      </c>
      <c r="M214">
        <v>5.54</v>
      </c>
      <c r="N214">
        <v>206.04</v>
      </c>
      <c r="O214" t="s">
        <v>59</v>
      </c>
      <c r="P214" t="s">
        <v>28</v>
      </c>
      <c r="Q214" t="s">
        <v>221</v>
      </c>
      <c r="R214" t="s">
        <v>222</v>
      </c>
      <c r="S214" t="s">
        <v>31</v>
      </c>
      <c r="T214" t="s">
        <v>938</v>
      </c>
    </row>
    <row r="215" spans="1:20" x14ac:dyDescent="0.3">
      <c r="A215" t="s">
        <v>939</v>
      </c>
      <c r="B215" s="1">
        <v>45652</v>
      </c>
      <c r="C215" t="s">
        <v>940</v>
      </c>
      <c r="D215" t="s">
        <v>159</v>
      </c>
      <c r="E215" t="s">
        <v>492</v>
      </c>
      <c r="F215" t="s">
        <v>493</v>
      </c>
      <c r="G215" t="s">
        <v>50</v>
      </c>
      <c r="H215" t="s">
        <v>109</v>
      </c>
      <c r="I215">
        <v>3</v>
      </c>
      <c r="J215">
        <v>83.31</v>
      </c>
      <c r="K215">
        <v>0</v>
      </c>
      <c r="L215">
        <v>19.989999999999998</v>
      </c>
      <c r="M215">
        <v>3.48</v>
      </c>
      <c r="N215">
        <v>273.39999999999998</v>
      </c>
      <c r="O215" t="s">
        <v>80</v>
      </c>
      <c r="P215" t="s">
        <v>28</v>
      </c>
      <c r="Q215" t="s">
        <v>41</v>
      </c>
      <c r="R215" t="s">
        <v>42</v>
      </c>
      <c r="S215" t="s">
        <v>43</v>
      </c>
      <c r="T215" t="s">
        <v>941</v>
      </c>
    </row>
    <row r="216" spans="1:20" x14ac:dyDescent="0.3">
      <c r="A216" t="s">
        <v>942</v>
      </c>
      <c r="B216" s="1">
        <v>45185</v>
      </c>
      <c r="C216" t="s">
        <v>943</v>
      </c>
      <c r="D216" t="s">
        <v>944</v>
      </c>
      <c r="E216" t="s">
        <v>945</v>
      </c>
      <c r="F216" t="s">
        <v>946</v>
      </c>
      <c r="G216" t="s">
        <v>180</v>
      </c>
      <c r="H216" t="s">
        <v>68</v>
      </c>
      <c r="I216">
        <v>3</v>
      </c>
      <c r="J216">
        <v>556.67999999999995</v>
      </c>
      <c r="K216">
        <v>0</v>
      </c>
      <c r="L216">
        <v>83.5</v>
      </c>
      <c r="M216">
        <v>1.06</v>
      </c>
      <c r="N216">
        <v>1754.6</v>
      </c>
      <c r="O216" t="s">
        <v>27</v>
      </c>
      <c r="P216" t="s">
        <v>28</v>
      </c>
      <c r="Q216" t="s">
        <v>41</v>
      </c>
      <c r="R216" t="s">
        <v>42</v>
      </c>
      <c r="S216" t="s">
        <v>72</v>
      </c>
      <c r="T216" t="s">
        <v>947</v>
      </c>
    </row>
    <row r="217" spans="1:20" x14ac:dyDescent="0.3">
      <c r="A217" t="s">
        <v>948</v>
      </c>
      <c r="B217" s="1">
        <v>45494</v>
      </c>
      <c r="C217" t="s">
        <v>949</v>
      </c>
      <c r="D217" t="s">
        <v>894</v>
      </c>
      <c r="E217" t="s">
        <v>380</v>
      </c>
      <c r="F217" t="s">
        <v>381</v>
      </c>
      <c r="G217" t="s">
        <v>38</v>
      </c>
      <c r="H217" t="s">
        <v>123</v>
      </c>
      <c r="I217">
        <v>3</v>
      </c>
      <c r="J217">
        <v>404.76</v>
      </c>
      <c r="K217">
        <v>0</v>
      </c>
      <c r="L217">
        <v>218.57</v>
      </c>
      <c r="M217">
        <v>10.5</v>
      </c>
      <c r="N217">
        <v>1443.35</v>
      </c>
      <c r="O217" t="s">
        <v>27</v>
      </c>
      <c r="P217" t="s">
        <v>28</v>
      </c>
      <c r="Q217" t="s">
        <v>124</v>
      </c>
      <c r="R217" t="s">
        <v>125</v>
      </c>
      <c r="S217" t="s">
        <v>43</v>
      </c>
      <c r="T217" t="s">
        <v>950</v>
      </c>
    </row>
    <row r="218" spans="1:20" x14ac:dyDescent="0.3">
      <c r="A218" t="s">
        <v>951</v>
      </c>
      <c r="B218" s="1">
        <v>45360</v>
      </c>
      <c r="C218" t="s">
        <v>952</v>
      </c>
      <c r="D218" t="s">
        <v>953</v>
      </c>
      <c r="E218" t="s">
        <v>374</v>
      </c>
      <c r="F218" t="s">
        <v>375</v>
      </c>
      <c r="G218" t="s">
        <v>98</v>
      </c>
      <c r="H218" t="s">
        <v>256</v>
      </c>
      <c r="I218">
        <v>5</v>
      </c>
      <c r="J218">
        <v>470.82</v>
      </c>
      <c r="K218">
        <v>0.1</v>
      </c>
      <c r="L218">
        <v>169.5</v>
      </c>
      <c r="M218">
        <v>12.39</v>
      </c>
      <c r="N218">
        <v>2300.58</v>
      </c>
      <c r="O218" t="s">
        <v>27</v>
      </c>
      <c r="P218" t="s">
        <v>28</v>
      </c>
      <c r="Q218" t="s">
        <v>100</v>
      </c>
      <c r="R218" t="s">
        <v>101</v>
      </c>
      <c r="S218" t="s">
        <v>43</v>
      </c>
      <c r="T218" t="s">
        <v>954</v>
      </c>
    </row>
    <row r="219" spans="1:20" x14ac:dyDescent="0.3">
      <c r="A219" t="s">
        <v>955</v>
      </c>
      <c r="B219" s="1">
        <v>45202</v>
      </c>
      <c r="C219" t="s">
        <v>956</v>
      </c>
      <c r="D219" t="s">
        <v>301</v>
      </c>
      <c r="E219" t="s">
        <v>202</v>
      </c>
      <c r="F219" t="s">
        <v>203</v>
      </c>
      <c r="G219" t="s">
        <v>38</v>
      </c>
      <c r="H219" t="s">
        <v>58</v>
      </c>
      <c r="I219">
        <v>5</v>
      </c>
      <c r="J219">
        <v>88.24</v>
      </c>
      <c r="K219">
        <v>0</v>
      </c>
      <c r="L219">
        <v>35.299999999999997</v>
      </c>
      <c r="M219">
        <v>13.44</v>
      </c>
      <c r="N219">
        <v>489.94</v>
      </c>
      <c r="O219" t="s">
        <v>27</v>
      </c>
      <c r="P219" t="s">
        <v>28</v>
      </c>
      <c r="Q219" t="s">
        <v>116</v>
      </c>
      <c r="R219" t="s">
        <v>42</v>
      </c>
      <c r="S219" t="s">
        <v>31</v>
      </c>
      <c r="T219" t="s">
        <v>957</v>
      </c>
    </row>
    <row r="220" spans="1:20" x14ac:dyDescent="0.3">
      <c r="A220" t="s">
        <v>958</v>
      </c>
      <c r="B220" s="1">
        <v>45327</v>
      </c>
      <c r="C220" t="s">
        <v>959</v>
      </c>
      <c r="D220" t="s">
        <v>960</v>
      </c>
      <c r="E220" t="s">
        <v>208</v>
      </c>
      <c r="F220" t="s">
        <v>209</v>
      </c>
      <c r="G220" t="s">
        <v>38</v>
      </c>
      <c r="H220" t="s">
        <v>109</v>
      </c>
      <c r="I220">
        <v>3</v>
      </c>
      <c r="J220">
        <v>410.9</v>
      </c>
      <c r="K220">
        <v>0</v>
      </c>
      <c r="L220">
        <v>98.62</v>
      </c>
      <c r="M220">
        <v>0.56999999999999995</v>
      </c>
      <c r="N220">
        <v>1331.89</v>
      </c>
      <c r="O220" t="s">
        <v>69</v>
      </c>
      <c r="P220" t="s">
        <v>28</v>
      </c>
      <c r="Q220" t="s">
        <v>188</v>
      </c>
      <c r="R220" t="s">
        <v>82</v>
      </c>
      <c r="S220" t="s">
        <v>31</v>
      </c>
      <c r="T220" t="s">
        <v>961</v>
      </c>
    </row>
    <row r="221" spans="1:20" x14ac:dyDescent="0.3">
      <c r="A221" t="s">
        <v>962</v>
      </c>
      <c r="B221" s="1">
        <v>45085</v>
      </c>
      <c r="C221" t="s">
        <v>963</v>
      </c>
      <c r="D221" t="s">
        <v>964</v>
      </c>
      <c r="E221" t="s">
        <v>164</v>
      </c>
      <c r="F221" t="s">
        <v>165</v>
      </c>
      <c r="G221" t="s">
        <v>50</v>
      </c>
      <c r="H221" t="s">
        <v>354</v>
      </c>
      <c r="I221">
        <v>4</v>
      </c>
      <c r="J221">
        <v>485.32</v>
      </c>
      <c r="K221">
        <v>0.15</v>
      </c>
      <c r="L221">
        <v>132.01</v>
      </c>
      <c r="M221">
        <v>8.34</v>
      </c>
      <c r="N221">
        <v>1790.44</v>
      </c>
      <c r="O221" t="s">
        <v>40</v>
      </c>
      <c r="P221" t="s">
        <v>28</v>
      </c>
      <c r="Q221" t="s">
        <v>210</v>
      </c>
      <c r="R221" t="s">
        <v>42</v>
      </c>
      <c r="S221" t="s">
        <v>43</v>
      </c>
      <c r="T221" t="s">
        <v>965</v>
      </c>
    </row>
    <row r="222" spans="1:20" x14ac:dyDescent="0.3">
      <c r="A222" t="s">
        <v>966</v>
      </c>
      <c r="B222" s="1">
        <v>44020</v>
      </c>
      <c r="C222" t="s">
        <v>967</v>
      </c>
      <c r="D222" t="s">
        <v>144</v>
      </c>
      <c r="E222" t="s">
        <v>96</v>
      </c>
      <c r="F222" t="s">
        <v>97</v>
      </c>
      <c r="G222" t="s">
        <v>50</v>
      </c>
      <c r="H222" t="s">
        <v>109</v>
      </c>
      <c r="I222">
        <v>1</v>
      </c>
      <c r="J222">
        <v>49.31</v>
      </c>
      <c r="K222">
        <v>0</v>
      </c>
      <c r="L222">
        <v>2.4700000000000002</v>
      </c>
      <c r="M222">
        <v>0.69</v>
      </c>
      <c r="N222">
        <v>52.47</v>
      </c>
      <c r="O222" t="s">
        <v>27</v>
      </c>
      <c r="P222" t="s">
        <v>28</v>
      </c>
      <c r="Q222" t="s">
        <v>60</v>
      </c>
      <c r="R222" t="s">
        <v>61</v>
      </c>
      <c r="S222" t="s">
        <v>43</v>
      </c>
      <c r="T222" t="s">
        <v>968</v>
      </c>
    </row>
    <row r="223" spans="1:20" x14ac:dyDescent="0.3">
      <c r="A223" t="s">
        <v>969</v>
      </c>
      <c r="B223" s="1">
        <v>45079</v>
      </c>
      <c r="C223" t="s">
        <v>970</v>
      </c>
      <c r="D223" t="s">
        <v>724</v>
      </c>
      <c r="E223" t="s">
        <v>492</v>
      </c>
      <c r="F223" t="s">
        <v>493</v>
      </c>
      <c r="G223" t="s">
        <v>108</v>
      </c>
      <c r="H223" t="s">
        <v>263</v>
      </c>
      <c r="I223">
        <v>4</v>
      </c>
      <c r="J223">
        <v>389.67</v>
      </c>
      <c r="K223">
        <v>0.05</v>
      </c>
      <c r="L223">
        <v>118.46</v>
      </c>
      <c r="M223">
        <v>3.29</v>
      </c>
      <c r="N223">
        <v>1602.5</v>
      </c>
      <c r="O223" t="s">
        <v>69</v>
      </c>
      <c r="P223" t="s">
        <v>28</v>
      </c>
      <c r="Q223" t="s">
        <v>188</v>
      </c>
      <c r="R223" t="s">
        <v>82</v>
      </c>
      <c r="S223" t="s">
        <v>43</v>
      </c>
      <c r="T223" t="s">
        <v>971</v>
      </c>
    </row>
    <row r="224" spans="1:20" x14ac:dyDescent="0.3">
      <c r="A224" t="s">
        <v>972</v>
      </c>
      <c r="B224" s="1">
        <v>45239</v>
      </c>
      <c r="C224" t="s">
        <v>973</v>
      </c>
      <c r="D224" t="s">
        <v>974</v>
      </c>
      <c r="E224" t="s">
        <v>391</v>
      </c>
      <c r="F224" t="s">
        <v>392</v>
      </c>
      <c r="G224" t="s">
        <v>38</v>
      </c>
      <c r="H224" t="s">
        <v>256</v>
      </c>
      <c r="I224">
        <v>1</v>
      </c>
      <c r="J224">
        <v>450.05</v>
      </c>
      <c r="K224">
        <v>0</v>
      </c>
      <c r="L224">
        <v>22.5</v>
      </c>
      <c r="M224">
        <v>1.2</v>
      </c>
      <c r="N224">
        <v>473.75</v>
      </c>
      <c r="O224" t="s">
        <v>153</v>
      </c>
      <c r="P224" t="s">
        <v>132</v>
      </c>
      <c r="Q224" t="s">
        <v>51</v>
      </c>
      <c r="R224" t="s">
        <v>42</v>
      </c>
      <c r="S224" t="s">
        <v>43</v>
      </c>
      <c r="T224" t="s">
        <v>975</v>
      </c>
    </row>
    <row r="225" spans="1:20" x14ac:dyDescent="0.3">
      <c r="A225" t="s">
        <v>976</v>
      </c>
      <c r="B225" s="1">
        <v>45231</v>
      </c>
      <c r="C225" t="s">
        <v>977</v>
      </c>
      <c r="D225" t="s">
        <v>311</v>
      </c>
      <c r="E225" t="s">
        <v>137</v>
      </c>
      <c r="F225" t="s">
        <v>138</v>
      </c>
      <c r="G225" t="s">
        <v>38</v>
      </c>
      <c r="H225" t="s">
        <v>79</v>
      </c>
      <c r="I225">
        <v>3</v>
      </c>
      <c r="J225">
        <v>137.33000000000001</v>
      </c>
      <c r="K225">
        <v>0.1</v>
      </c>
      <c r="L225">
        <v>29.66</v>
      </c>
      <c r="M225">
        <v>13.56</v>
      </c>
      <c r="N225">
        <v>414.01</v>
      </c>
      <c r="O225" t="s">
        <v>69</v>
      </c>
      <c r="P225" t="s">
        <v>28</v>
      </c>
      <c r="Q225" t="s">
        <v>71</v>
      </c>
      <c r="R225" t="s">
        <v>42</v>
      </c>
      <c r="S225" t="s">
        <v>31</v>
      </c>
      <c r="T225" t="s">
        <v>978</v>
      </c>
    </row>
    <row r="226" spans="1:20" x14ac:dyDescent="0.3">
      <c r="A226" t="s">
        <v>979</v>
      </c>
      <c r="B226" s="1">
        <v>45137</v>
      </c>
      <c r="C226" t="s">
        <v>980</v>
      </c>
      <c r="D226" t="s">
        <v>801</v>
      </c>
      <c r="E226" t="s">
        <v>521</v>
      </c>
      <c r="F226" t="s">
        <v>522</v>
      </c>
      <c r="G226" t="s">
        <v>38</v>
      </c>
      <c r="H226" t="s">
        <v>26</v>
      </c>
      <c r="I226">
        <v>2</v>
      </c>
      <c r="J226">
        <v>114.61</v>
      </c>
      <c r="K226">
        <v>0</v>
      </c>
      <c r="L226">
        <v>18.34</v>
      </c>
      <c r="M226">
        <v>0.91</v>
      </c>
      <c r="N226">
        <v>248.47</v>
      </c>
      <c r="O226" t="s">
        <v>153</v>
      </c>
      <c r="P226" t="s">
        <v>28</v>
      </c>
      <c r="Q226" t="s">
        <v>182</v>
      </c>
      <c r="R226" t="s">
        <v>183</v>
      </c>
      <c r="S226" t="s">
        <v>43</v>
      </c>
      <c r="T226" t="s">
        <v>981</v>
      </c>
    </row>
    <row r="227" spans="1:20" x14ac:dyDescent="0.3">
      <c r="A227" t="s">
        <v>982</v>
      </c>
      <c r="B227" s="1">
        <v>44463</v>
      </c>
      <c r="C227" t="s">
        <v>983</v>
      </c>
      <c r="D227" t="s">
        <v>207</v>
      </c>
      <c r="E227" t="s">
        <v>456</v>
      </c>
      <c r="F227" t="s">
        <v>457</v>
      </c>
      <c r="G227" t="s">
        <v>180</v>
      </c>
      <c r="H227" t="s">
        <v>263</v>
      </c>
      <c r="I227">
        <v>5</v>
      </c>
      <c r="J227">
        <v>303.23</v>
      </c>
      <c r="K227">
        <v>0</v>
      </c>
      <c r="L227">
        <v>181.94</v>
      </c>
      <c r="M227">
        <v>9.58</v>
      </c>
      <c r="N227">
        <v>1707.67</v>
      </c>
      <c r="O227" t="s">
        <v>69</v>
      </c>
      <c r="P227" t="s">
        <v>28</v>
      </c>
      <c r="Q227" t="s">
        <v>228</v>
      </c>
      <c r="R227" t="s">
        <v>82</v>
      </c>
      <c r="S227" t="s">
        <v>43</v>
      </c>
      <c r="T227" t="s">
        <v>458</v>
      </c>
    </row>
    <row r="228" spans="1:20" x14ac:dyDescent="0.3">
      <c r="A228" t="s">
        <v>984</v>
      </c>
      <c r="B228" s="1">
        <v>44458</v>
      </c>
      <c r="C228" t="s">
        <v>985</v>
      </c>
      <c r="D228" t="s">
        <v>986</v>
      </c>
      <c r="E228" t="s">
        <v>77</v>
      </c>
      <c r="F228" t="s">
        <v>78</v>
      </c>
      <c r="G228" t="s">
        <v>98</v>
      </c>
      <c r="H228" t="s">
        <v>123</v>
      </c>
      <c r="I228">
        <v>4</v>
      </c>
      <c r="J228">
        <v>377.77</v>
      </c>
      <c r="K228">
        <v>0.1</v>
      </c>
      <c r="L228">
        <v>163.19999999999999</v>
      </c>
      <c r="M228">
        <v>11.35</v>
      </c>
      <c r="N228">
        <v>1534.52</v>
      </c>
      <c r="O228" t="s">
        <v>40</v>
      </c>
      <c r="P228" t="s">
        <v>28</v>
      </c>
      <c r="Q228" t="s">
        <v>29</v>
      </c>
      <c r="R228" t="s">
        <v>30</v>
      </c>
      <c r="S228" t="s">
        <v>43</v>
      </c>
      <c r="T228" t="s">
        <v>987</v>
      </c>
    </row>
    <row r="229" spans="1:20" x14ac:dyDescent="0.3">
      <c r="A229" t="s">
        <v>988</v>
      </c>
      <c r="B229" s="1">
        <v>44803</v>
      </c>
      <c r="C229" t="s">
        <v>989</v>
      </c>
      <c r="D229" t="s">
        <v>144</v>
      </c>
      <c r="E229" t="s">
        <v>812</v>
      </c>
      <c r="F229" t="s">
        <v>813</v>
      </c>
      <c r="G229" t="s">
        <v>180</v>
      </c>
      <c r="H229" t="s">
        <v>26</v>
      </c>
      <c r="I229">
        <v>5</v>
      </c>
      <c r="J229">
        <v>165.72</v>
      </c>
      <c r="K229">
        <v>0.05</v>
      </c>
      <c r="L229">
        <v>62.97</v>
      </c>
      <c r="M229">
        <v>4.46</v>
      </c>
      <c r="N229">
        <v>854.6</v>
      </c>
      <c r="O229" t="s">
        <v>69</v>
      </c>
      <c r="P229" t="s">
        <v>28</v>
      </c>
      <c r="Q229" t="s">
        <v>89</v>
      </c>
      <c r="R229" t="s">
        <v>90</v>
      </c>
      <c r="S229" t="s">
        <v>31</v>
      </c>
      <c r="T229" t="s">
        <v>990</v>
      </c>
    </row>
    <row r="230" spans="1:20" x14ac:dyDescent="0.3">
      <c r="A230" t="s">
        <v>991</v>
      </c>
      <c r="B230" s="1">
        <v>45599</v>
      </c>
      <c r="C230" t="s">
        <v>992</v>
      </c>
      <c r="D230" t="s">
        <v>76</v>
      </c>
      <c r="E230" t="s">
        <v>521</v>
      </c>
      <c r="F230" t="s">
        <v>522</v>
      </c>
      <c r="G230" t="s">
        <v>180</v>
      </c>
      <c r="H230" t="s">
        <v>109</v>
      </c>
      <c r="I230">
        <v>5</v>
      </c>
      <c r="J230">
        <v>404.33</v>
      </c>
      <c r="K230">
        <v>0</v>
      </c>
      <c r="L230">
        <v>161.72999999999999</v>
      </c>
      <c r="M230">
        <v>4.75</v>
      </c>
      <c r="N230">
        <v>2188.13</v>
      </c>
      <c r="O230" t="s">
        <v>69</v>
      </c>
      <c r="P230" t="s">
        <v>132</v>
      </c>
      <c r="Q230" t="s">
        <v>100</v>
      </c>
      <c r="R230" t="s">
        <v>101</v>
      </c>
      <c r="S230" t="s">
        <v>235</v>
      </c>
      <c r="T230" t="s">
        <v>993</v>
      </c>
    </row>
    <row r="231" spans="1:20" x14ac:dyDescent="0.3">
      <c r="A231" t="s">
        <v>994</v>
      </c>
      <c r="B231" s="1">
        <v>45113</v>
      </c>
      <c r="C231" t="s">
        <v>995</v>
      </c>
      <c r="D231" t="s">
        <v>702</v>
      </c>
      <c r="E231" t="s">
        <v>178</v>
      </c>
      <c r="F231" t="s">
        <v>179</v>
      </c>
      <c r="G231" t="s">
        <v>98</v>
      </c>
      <c r="H231" t="s">
        <v>39</v>
      </c>
      <c r="I231">
        <v>5</v>
      </c>
      <c r="J231">
        <v>493.81</v>
      </c>
      <c r="K231">
        <v>0.3</v>
      </c>
      <c r="L231">
        <v>138.27000000000001</v>
      </c>
      <c r="M231">
        <v>14.7</v>
      </c>
      <c r="N231">
        <v>1881.3</v>
      </c>
      <c r="O231" t="s">
        <v>40</v>
      </c>
      <c r="P231" t="s">
        <v>99</v>
      </c>
      <c r="Q231" t="s">
        <v>100</v>
      </c>
      <c r="R231" t="s">
        <v>101</v>
      </c>
      <c r="S231" t="s">
        <v>43</v>
      </c>
      <c r="T231" t="s">
        <v>996</v>
      </c>
    </row>
    <row r="232" spans="1:20" x14ac:dyDescent="0.3">
      <c r="A232" t="s">
        <v>997</v>
      </c>
      <c r="B232" s="1">
        <v>45213</v>
      </c>
      <c r="C232" t="s">
        <v>998</v>
      </c>
      <c r="D232" t="s">
        <v>746</v>
      </c>
      <c r="E232" t="s">
        <v>196</v>
      </c>
      <c r="F232" t="s">
        <v>197</v>
      </c>
      <c r="G232" t="s">
        <v>38</v>
      </c>
      <c r="H232" t="s">
        <v>263</v>
      </c>
      <c r="I232">
        <v>1</v>
      </c>
      <c r="J232">
        <v>590.16999999999996</v>
      </c>
      <c r="K232">
        <v>0.15</v>
      </c>
      <c r="L232">
        <v>25.08</v>
      </c>
      <c r="M232">
        <v>3.79</v>
      </c>
      <c r="N232">
        <v>530.51</v>
      </c>
      <c r="O232" t="s">
        <v>69</v>
      </c>
      <c r="P232" t="s">
        <v>132</v>
      </c>
      <c r="Q232" t="s">
        <v>100</v>
      </c>
      <c r="R232" t="s">
        <v>101</v>
      </c>
      <c r="S232" t="s">
        <v>43</v>
      </c>
      <c r="T232" t="s">
        <v>999</v>
      </c>
    </row>
    <row r="233" spans="1:20" x14ac:dyDescent="0.3">
      <c r="A233" t="s">
        <v>1000</v>
      </c>
      <c r="B233" s="1">
        <v>44540</v>
      </c>
      <c r="C233" t="s">
        <v>1001</v>
      </c>
      <c r="D233" t="s">
        <v>1002</v>
      </c>
      <c r="E233" t="s">
        <v>456</v>
      </c>
      <c r="F233" t="s">
        <v>457</v>
      </c>
      <c r="G233" t="s">
        <v>98</v>
      </c>
      <c r="H233" t="s">
        <v>256</v>
      </c>
      <c r="I233">
        <v>2</v>
      </c>
      <c r="J233">
        <v>426.66</v>
      </c>
      <c r="K233">
        <v>0.15</v>
      </c>
      <c r="L233">
        <v>87.04</v>
      </c>
      <c r="M233">
        <v>11.68</v>
      </c>
      <c r="N233">
        <v>824.04</v>
      </c>
      <c r="O233" t="s">
        <v>40</v>
      </c>
      <c r="P233" t="s">
        <v>28</v>
      </c>
      <c r="Q233" t="s">
        <v>124</v>
      </c>
      <c r="R233" t="s">
        <v>125</v>
      </c>
      <c r="S233" t="s">
        <v>43</v>
      </c>
      <c r="T233" t="s">
        <v>1003</v>
      </c>
    </row>
    <row r="234" spans="1:20" x14ac:dyDescent="0.3">
      <c r="A234" t="s">
        <v>1004</v>
      </c>
      <c r="B234" s="1">
        <v>45310</v>
      </c>
      <c r="C234" t="s">
        <v>1005</v>
      </c>
      <c r="D234" t="s">
        <v>1006</v>
      </c>
      <c r="E234" t="s">
        <v>374</v>
      </c>
      <c r="F234" t="s">
        <v>375</v>
      </c>
      <c r="G234" t="s">
        <v>38</v>
      </c>
      <c r="H234" t="s">
        <v>39</v>
      </c>
      <c r="I234">
        <v>3</v>
      </c>
      <c r="J234">
        <v>512.13</v>
      </c>
      <c r="K234">
        <v>0</v>
      </c>
      <c r="L234">
        <v>122.91</v>
      </c>
      <c r="M234">
        <v>14.93</v>
      </c>
      <c r="N234">
        <v>1674.23</v>
      </c>
      <c r="O234" t="s">
        <v>153</v>
      </c>
      <c r="P234" t="s">
        <v>28</v>
      </c>
      <c r="Q234" t="s">
        <v>89</v>
      </c>
      <c r="R234" t="s">
        <v>90</v>
      </c>
      <c r="S234" t="s">
        <v>43</v>
      </c>
      <c r="T234" t="s">
        <v>1007</v>
      </c>
    </row>
    <row r="235" spans="1:20" x14ac:dyDescent="0.3">
      <c r="A235" t="s">
        <v>1008</v>
      </c>
      <c r="B235" s="1">
        <v>45265</v>
      </c>
      <c r="C235" t="s">
        <v>1009</v>
      </c>
      <c r="D235" t="s">
        <v>171</v>
      </c>
      <c r="E235" t="s">
        <v>337</v>
      </c>
      <c r="F235" t="s">
        <v>338</v>
      </c>
      <c r="G235" t="s">
        <v>98</v>
      </c>
      <c r="H235" t="s">
        <v>256</v>
      </c>
      <c r="I235">
        <v>4</v>
      </c>
      <c r="J235">
        <v>139.59</v>
      </c>
      <c r="K235">
        <v>0.05</v>
      </c>
      <c r="L235">
        <v>26.52</v>
      </c>
      <c r="M235">
        <v>0.4</v>
      </c>
      <c r="N235">
        <v>557.36</v>
      </c>
      <c r="O235" t="s">
        <v>27</v>
      </c>
      <c r="P235" t="s">
        <v>132</v>
      </c>
      <c r="Q235" t="s">
        <v>41</v>
      </c>
      <c r="R235" t="s">
        <v>42</v>
      </c>
      <c r="S235" t="s">
        <v>43</v>
      </c>
      <c r="T235" t="s">
        <v>1010</v>
      </c>
    </row>
    <row r="236" spans="1:20" x14ac:dyDescent="0.3">
      <c r="A236" t="s">
        <v>1011</v>
      </c>
      <c r="B236" s="1">
        <v>44479</v>
      </c>
      <c r="C236" t="s">
        <v>1012</v>
      </c>
      <c r="D236" t="s">
        <v>439</v>
      </c>
      <c r="E236" t="s">
        <v>574</v>
      </c>
      <c r="F236" t="s">
        <v>575</v>
      </c>
      <c r="G236" t="s">
        <v>50</v>
      </c>
      <c r="H236" t="s">
        <v>58</v>
      </c>
      <c r="I236">
        <v>2</v>
      </c>
      <c r="J236">
        <v>130.46</v>
      </c>
      <c r="K236">
        <v>0.1</v>
      </c>
      <c r="L236">
        <v>18.79</v>
      </c>
      <c r="M236">
        <v>0.38</v>
      </c>
      <c r="N236">
        <v>254</v>
      </c>
      <c r="O236" t="s">
        <v>27</v>
      </c>
      <c r="P236" t="s">
        <v>28</v>
      </c>
      <c r="Q236" t="s">
        <v>100</v>
      </c>
      <c r="R236" t="s">
        <v>101</v>
      </c>
      <c r="S236" t="s">
        <v>43</v>
      </c>
      <c r="T236" t="s">
        <v>1013</v>
      </c>
    </row>
    <row r="237" spans="1:20" x14ac:dyDescent="0.3">
      <c r="A237" t="s">
        <v>1014</v>
      </c>
      <c r="B237" s="1">
        <v>44148</v>
      </c>
      <c r="C237" t="s">
        <v>1015</v>
      </c>
      <c r="D237" t="s">
        <v>418</v>
      </c>
      <c r="E237" t="s">
        <v>87</v>
      </c>
      <c r="F237" t="s">
        <v>88</v>
      </c>
      <c r="G237" t="s">
        <v>180</v>
      </c>
      <c r="H237" t="s">
        <v>109</v>
      </c>
      <c r="I237">
        <v>5</v>
      </c>
      <c r="J237">
        <v>574.24</v>
      </c>
      <c r="K237">
        <v>0</v>
      </c>
      <c r="L237">
        <v>143.56</v>
      </c>
      <c r="M237">
        <v>13.09</v>
      </c>
      <c r="N237">
        <v>3027.85</v>
      </c>
      <c r="O237" t="s">
        <v>69</v>
      </c>
      <c r="P237" t="s">
        <v>132</v>
      </c>
      <c r="Q237" t="s">
        <v>89</v>
      </c>
      <c r="R237" t="s">
        <v>90</v>
      </c>
      <c r="S237" t="s">
        <v>43</v>
      </c>
      <c r="T237" t="s">
        <v>1016</v>
      </c>
    </row>
    <row r="238" spans="1:20" x14ac:dyDescent="0.3">
      <c r="A238" t="s">
        <v>1017</v>
      </c>
      <c r="B238" s="1">
        <v>45531</v>
      </c>
      <c r="C238" t="s">
        <v>1018</v>
      </c>
      <c r="D238" t="s">
        <v>311</v>
      </c>
      <c r="E238" t="s">
        <v>261</v>
      </c>
      <c r="F238" t="s">
        <v>262</v>
      </c>
      <c r="G238" t="s">
        <v>50</v>
      </c>
      <c r="H238" t="s">
        <v>68</v>
      </c>
      <c r="I238">
        <v>1</v>
      </c>
      <c r="J238">
        <v>432.72</v>
      </c>
      <c r="K238">
        <v>0.2</v>
      </c>
      <c r="L238">
        <v>62.31</v>
      </c>
      <c r="M238">
        <v>14.85</v>
      </c>
      <c r="N238">
        <v>423.34</v>
      </c>
      <c r="O238" t="s">
        <v>59</v>
      </c>
      <c r="P238" t="s">
        <v>28</v>
      </c>
      <c r="Q238" t="s">
        <v>81</v>
      </c>
      <c r="R238" t="s">
        <v>82</v>
      </c>
      <c r="S238" t="s">
        <v>31</v>
      </c>
      <c r="T238" t="s">
        <v>1019</v>
      </c>
    </row>
    <row r="239" spans="1:20" x14ac:dyDescent="0.3">
      <c r="A239" t="s">
        <v>1020</v>
      </c>
      <c r="B239" s="1">
        <v>45079</v>
      </c>
      <c r="C239" t="s">
        <v>1021</v>
      </c>
      <c r="D239" t="s">
        <v>439</v>
      </c>
      <c r="E239" t="s">
        <v>208</v>
      </c>
      <c r="F239" t="s">
        <v>209</v>
      </c>
      <c r="G239" t="s">
        <v>180</v>
      </c>
      <c r="H239" t="s">
        <v>263</v>
      </c>
      <c r="I239">
        <v>5</v>
      </c>
      <c r="J239">
        <v>73.55</v>
      </c>
      <c r="K239">
        <v>0.15</v>
      </c>
      <c r="L239">
        <v>0</v>
      </c>
      <c r="M239">
        <v>9.0299999999999994</v>
      </c>
      <c r="N239">
        <v>321.62</v>
      </c>
      <c r="O239" t="s">
        <v>27</v>
      </c>
      <c r="P239" t="s">
        <v>28</v>
      </c>
      <c r="Q239" t="s">
        <v>154</v>
      </c>
      <c r="R239" t="s">
        <v>155</v>
      </c>
      <c r="S239" t="s">
        <v>43</v>
      </c>
      <c r="T239" t="s">
        <v>1022</v>
      </c>
    </row>
    <row r="240" spans="1:20" x14ac:dyDescent="0.3">
      <c r="A240" t="s">
        <v>1023</v>
      </c>
      <c r="B240" s="1">
        <v>45088</v>
      </c>
      <c r="C240" t="s">
        <v>1024</v>
      </c>
      <c r="D240" t="s">
        <v>163</v>
      </c>
      <c r="E240" t="s">
        <v>302</v>
      </c>
      <c r="F240" t="s">
        <v>303</v>
      </c>
      <c r="G240" t="s">
        <v>180</v>
      </c>
      <c r="H240" t="s">
        <v>68</v>
      </c>
      <c r="I240">
        <v>1</v>
      </c>
      <c r="J240">
        <v>257.51</v>
      </c>
      <c r="K240">
        <v>0.1</v>
      </c>
      <c r="L240">
        <v>41.72</v>
      </c>
      <c r="M240">
        <v>5.25</v>
      </c>
      <c r="N240">
        <v>278.73</v>
      </c>
      <c r="O240" t="s">
        <v>69</v>
      </c>
      <c r="P240" t="s">
        <v>28</v>
      </c>
      <c r="Q240" t="s">
        <v>81</v>
      </c>
      <c r="R240" t="s">
        <v>82</v>
      </c>
      <c r="S240" t="s">
        <v>43</v>
      </c>
      <c r="T240" t="s">
        <v>1025</v>
      </c>
    </row>
    <row r="241" spans="1:20" x14ac:dyDescent="0.3">
      <c r="A241" t="s">
        <v>1026</v>
      </c>
      <c r="B241" s="1">
        <v>44514</v>
      </c>
      <c r="C241" t="s">
        <v>1027</v>
      </c>
      <c r="D241" t="s">
        <v>1028</v>
      </c>
      <c r="E241" t="s">
        <v>352</v>
      </c>
      <c r="F241" t="s">
        <v>353</v>
      </c>
      <c r="G241" t="s">
        <v>50</v>
      </c>
      <c r="H241" t="s">
        <v>256</v>
      </c>
      <c r="I241">
        <v>5</v>
      </c>
      <c r="J241">
        <v>338.76</v>
      </c>
      <c r="K241">
        <v>0.05</v>
      </c>
      <c r="L241">
        <v>193.09</v>
      </c>
      <c r="M241">
        <v>12.46</v>
      </c>
      <c r="N241">
        <v>1814.66</v>
      </c>
      <c r="O241" t="s">
        <v>80</v>
      </c>
      <c r="P241" t="s">
        <v>28</v>
      </c>
      <c r="Q241" t="s">
        <v>41</v>
      </c>
      <c r="R241" t="s">
        <v>42</v>
      </c>
      <c r="S241" t="s">
        <v>31</v>
      </c>
      <c r="T241" t="s">
        <v>1029</v>
      </c>
    </row>
    <row r="242" spans="1:20" x14ac:dyDescent="0.3">
      <c r="A242" t="s">
        <v>1030</v>
      </c>
      <c r="B242" s="1">
        <v>44494</v>
      </c>
      <c r="C242" t="s">
        <v>1031</v>
      </c>
      <c r="D242" t="s">
        <v>964</v>
      </c>
      <c r="E242" t="s">
        <v>151</v>
      </c>
      <c r="F242" t="s">
        <v>152</v>
      </c>
      <c r="G242" t="s">
        <v>180</v>
      </c>
      <c r="H242" t="s">
        <v>263</v>
      </c>
      <c r="I242">
        <v>2</v>
      </c>
      <c r="J242">
        <v>139.97</v>
      </c>
      <c r="K242">
        <v>0</v>
      </c>
      <c r="L242">
        <v>22.4</v>
      </c>
      <c r="M242">
        <v>14.9</v>
      </c>
      <c r="N242">
        <v>317.24</v>
      </c>
      <c r="O242" t="s">
        <v>80</v>
      </c>
      <c r="P242" t="s">
        <v>28</v>
      </c>
      <c r="Q242" t="s">
        <v>139</v>
      </c>
      <c r="R242" t="s">
        <v>140</v>
      </c>
      <c r="S242" t="s">
        <v>91</v>
      </c>
      <c r="T242" t="s">
        <v>677</v>
      </c>
    </row>
    <row r="243" spans="1:20" x14ac:dyDescent="0.3">
      <c r="A243" t="s">
        <v>1032</v>
      </c>
      <c r="B243" s="1">
        <v>45228</v>
      </c>
      <c r="C243" t="s">
        <v>1033</v>
      </c>
      <c r="D243" t="s">
        <v>1034</v>
      </c>
      <c r="E243" t="s">
        <v>96</v>
      </c>
      <c r="F243" t="s">
        <v>97</v>
      </c>
      <c r="G243" t="s">
        <v>180</v>
      </c>
      <c r="H243" t="s">
        <v>68</v>
      </c>
      <c r="I243">
        <v>4</v>
      </c>
      <c r="J243">
        <v>202.98</v>
      </c>
      <c r="K243">
        <v>0.1</v>
      </c>
      <c r="L243">
        <v>58.46</v>
      </c>
      <c r="M243">
        <v>0.09</v>
      </c>
      <c r="N243">
        <v>789.28</v>
      </c>
      <c r="O243" t="s">
        <v>59</v>
      </c>
      <c r="P243" t="s">
        <v>28</v>
      </c>
      <c r="Q243" t="s">
        <v>145</v>
      </c>
      <c r="R243" t="s">
        <v>146</v>
      </c>
      <c r="S243" t="s">
        <v>72</v>
      </c>
      <c r="T243" t="s">
        <v>1035</v>
      </c>
    </row>
    <row r="244" spans="1:20" x14ac:dyDescent="0.3">
      <c r="A244" t="s">
        <v>1036</v>
      </c>
      <c r="B244" s="1">
        <v>45526</v>
      </c>
      <c r="C244" t="s">
        <v>1037</v>
      </c>
      <c r="D244" t="s">
        <v>953</v>
      </c>
      <c r="E244" t="s">
        <v>36</v>
      </c>
      <c r="F244" t="s">
        <v>37</v>
      </c>
      <c r="G244" t="s">
        <v>38</v>
      </c>
      <c r="H244" t="s">
        <v>68</v>
      </c>
      <c r="I244">
        <v>4</v>
      </c>
      <c r="J244">
        <v>319.11</v>
      </c>
      <c r="K244">
        <v>0</v>
      </c>
      <c r="L244">
        <v>63.82</v>
      </c>
      <c r="M244">
        <v>4.1500000000000004</v>
      </c>
      <c r="N244">
        <v>1344.41</v>
      </c>
      <c r="O244" t="s">
        <v>59</v>
      </c>
      <c r="P244" t="s">
        <v>28</v>
      </c>
      <c r="Q244" t="s">
        <v>71</v>
      </c>
      <c r="R244" t="s">
        <v>42</v>
      </c>
      <c r="S244" t="s">
        <v>43</v>
      </c>
      <c r="T244" t="s">
        <v>1038</v>
      </c>
    </row>
    <row r="245" spans="1:20" x14ac:dyDescent="0.3">
      <c r="A245" t="s">
        <v>1039</v>
      </c>
      <c r="B245" s="1">
        <v>45462</v>
      </c>
      <c r="C245" t="s">
        <v>1040</v>
      </c>
      <c r="D245" t="s">
        <v>425</v>
      </c>
      <c r="E245" t="s">
        <v>23</v>
      </c>
      <c r="F245" t="s">
        <v>24</v>
      </c>
      <c r="G245" t="s">
        <v>38</v>
      </c>
      <c r="H245" t="s">
        <v>58</v>
      </c>
      <c r="I245">
        <v>1</v>
      </c>
      <c r="J245">
        <v>370.47</v>
      </c>
      <c r="K245">
        <v>0.15</v>
      </c>
      <c r="L245">
        <v>37.79</v>
      </c>
      <c r="M245">
        <v>0.89</v>
      </c>
      <c r="N245">
        <v>353.58</v>
      </c>
      <c r="O245" t="s">
        <v>40</v>
      </c>
      <c r="P245" t="s">
        <v>28</v>
      </c>
      <c r="Q245" t="s">
        <v>221</v>
      </c>
      <c r="R245" t="s">
        <v>222</v>
      </c>
      <c r="S245" t="s">
        <v>43</v>
      </c>
      <c r="T245" t="s">
        <v>1041</v>
      </c>
    </row>
    <row r="246" spans="1:20" x14ac:dyDescent="0.3">
      <c r="A246" t="s">
        <v>1042</v>
      </c>
      <c r="B246" s="1">
        <v>45326</v>
      </c>
      <c r="C246" t="s">
        <v>1043</v>
      </c>
      <c r="D246" t="s">
        <v>474</v>
      </c>
      <c r="E246" t="s">
        <v>400</v>
      </c>
      <c r="F246" t="s">
        <v>401</v>
      </c>
      <c r="G246" t="s">
        <v>50</v>
      </c>
      <c r="H246" t="s">
        <v>26</v>
      </c>
      <c r="I246">
        <v>5</v>
      </c>
      <c r="J246">
        <v>45.49</v>
      </c>
      <c r="K246">
        <v>0.2</v>
      </c>
      <c r="L246">
        <v>32.75</v>
      </c>
      <c r="M246">
        <v>0.02</v>
      </c>
      <c r="N246">
        <v>214.73</v>
      </c>
      <c r="O246" t="s">
        <v>27</v>
      </c>
      <c r="P246" t="s">
        <v>28</v>
      </c>
      <c r="Q246" t="s">
        <v>145</v>
      </c>
      <c r="R246" t="s">
        <v>146</v>
      </c>
      <c r="S246" t="s">
        <v>31</v>
      </c>
      <c r="T246" t="s">
        <v>795</v>
      </c>
    </row>
    <row r="247" spans="1:20" x14ac:dyDescent="0.3">
      <c r="A247" t="s">
        <v>1044</v>
      </c>
      <c r="B247" s="1">
        <v>45087</v>
      </c>
      <c r="C247" t="s">
        <v>1045</v>
      </c>
      <c r="D247" t="s">
        <v>385</v>
      </c>
      <c r="E247" t="s">
        <v>23</v>
      </c>
      <c r="F247" t="s">
        <v>24</v>
      </c>
      <c r="G247" t="s">
        <v>50</v>
      </c>
      <c r="H247" t="s">
        <v>109</v>
      </c>
      <c r="I247">
        <v>3</v>
      </c>
      <c r="J247">
        <v>116.12</v>
      </c>
      <c r="K247">
        <v>0</v>
      </c>
      <c r="L247">
        <v>62.7</v>
      </c>
      <c r="M247">
        <v>5.45</v>
      </c>
      <c r="N247">
        <v>416.51</v>
      </c>
      <c r="O247" t="s">
        <v>69</v>
      </c>
      <c r="P247" t="s">
        <v>28</v>
      </c>
      <c r="Q247" t="s">
        <v>145</v>
      </c>
      <c r="R247" t="s">
        <v>146</v>
      </c>
      <c r="S247" t="s">
        <v>31</v>
      </c>
      <c r="T247" t="s">
        <v>1046</v>
      </c>
    </row>
    <row r="248" spans="1:20" x14ac:dyDescent="0.3">
      <c r="A248" t="s">
        <v>1047</v>
      </c>
      <c r="B248" s="1">
        <v>45546</v>
      </c>
      <c r="C248" t="s">
        <v>1048</v>
      </c>
      <c r="D248" t="s">
        <v>461</v>
      </c>
      <c r="E248" t="s">
        <v>675</v>
      </c>
      <c r="F248" t="s">
        <v>676</v>
      </c>
      <c r="G248" t="s">
        <v>180</v>
      </c>
      <c r="H248" t="s">
        <v>26</v>
      </c>
      <c r="I248">
        <v>3</v>
      </c>
      <c r="J248">
        <v>297.86</v>
      </c>
      <c r="K248">
        <v>0.2</v>
      </c>
      <c r="L248">
        <v>85.78</v>
      </c>
      <c r="M248">
        <v>7.14</v>
      </c>
      <c r="N248">
        <v>807.78</v>
      </c>
      <c r="O248" t="s">
        <v>69</v>
      </c>
      <c r="P248" t="s">
        <v>132</v>
      </c>
      <c r="Q248" t="s">
        <v>182</v>
      </c>
      <c r="R248" t="s">
        <v>183</v>
      </c>
      <c r="S248" t="s">
        <v>43</v>
      </c>
      <c r="T248" t="s">
        <v>1049</v>
      </c>
    </row>
    <row r="249" spans="1:20" x14ac:dyDescent="0.3">
      <c r="A249" t="s">
        <v>1050</v>
      </c>
      <c r="B249" s="1">
        <v>44967</v>
      </c>
      <c r="C249" t="s">
        <v>1051</v>
      </c>
      <c r="D249" t="s">
        <v>1052</v>
      </c>
      <c r="E249" t="s">
        <v>23</v>
      </c>
      <c r="F249" t="s">
        <v>24</v>
      </c>
      <c r="G249" t="s">
        <v>98</v>
      </c>
      <c r="H249" t="s">
        <v>256</v>
      </c>
      <c r="I249">
        <v>5</v>
      </c>
      <c r="J249">
        <v>89.26</v>
      </c>
      <c r="K249">
        <v>0</v>
      </c>
      <c r="L249">
        <v>35.700000000000003</v>
      </c>
      <c r="M249">
        <v>2.92</v>
      </c>
      <c r="N249">
        <v>484.92</v>
      </c>
      <c r="O249" t="s">
        <v>27</v>
      </c>
      <c r="P249" t="s">
        <v>28</v>
      </c>
      <c r="Q249" t="s">
        <v>228</v>
      </c>
      <c r="R249" t="s">
        <v>82</v>
      </c>
      <c r="S249" t="s">
        <v>43</v>
      </c>
      <c r="T249" t="s">
        <v>1053</v>
      </c>
    </row>
    <row r="250" spans="1:20" x14ac:dyDescent="0.3">
      <c r="A250" t="s">
        <v>1054</v>
      </c>
      <c r="B250" s="1">
        <v>45351</v>
      </c>
      <c r="C250" t="s">
        <v>1055</v>
      </c>
      <c r="D250" t="s">
        <v>1056</v>
      </c>
      <c r="E250" t="s">
        <v>434</v>
      </c>
      <c r="F250" t="s">
        <v>435</v>
      </c>
      <c r="G250" t="s">
        <v>180</v>
      </c>
      <c r="H250" t="s">
        <v>256</v>
      </c>
      <c r="I250">
        <v>4</v>
      </c>
      <c r="J250">
        <v>73.540000000000006</v>
      </c>
      <c r="K250">
        <v>0.2</v>
      </c>
      <c r="L250">
        <v>18.829999999999998</v>
      </c>
      <c r="M250">
        <v>11.23</v>
      </c>
      <c r="N250">
        <v>265.39</v>
      </c>
      <c r="O250" t="s">
        <v>27</v>
      </c>
      <c r="P250" t="s">
        <v>28</v>
      </c>
      <c r="Q250" t="s">
        <v>60</v>
      </c>
      <c r="R250" t="s">
        <v>61</v>
      </c>
      <c r="S250" t="s">
        <v>43</v>
      </c>
      <c r="T250" t="s">
        <v>1057</v>
      </c>
    </row>
    <row r="251" spans="1:20" x14ac:dyDescent="0.3">
      <c r="A251" t="s">
        <v>1058</v>
      </c>
      <c r="B251" s="1">
        <v>44272</v>
      </c>
      <c r="C251" t="s">
        <v>1059</v>
      </c>
      <c r="D251" t="s">
        <v>520</v>
      </c>
      <c r="E251" t="s">
        <v>226</v>
      </c>
      <c r="F251" t="s">
        <v>227</v>
      </c>
      <c r="G251" t="s">
        <v>38</v>
      </c>
      <c r="H251" t="s">
        <v>263</v>
      </c>
      <c r="I251">
        <v>4</v>
      </c>
      <c r="J251">
        <v>214.42</v>
      </c>
      <c r="K251">
        <v>0</v>
      </c>
      <c r="L251">
        <v>102.92</v>
      </c>
      <c r="M251">
        <v>9.31</v>
      </c>
      <c r="N251">
        <v>969.91</v>
      </c>
      <c r="O251" t="s">
        <v>69</v>
      </c>
      <c r="P251" t="s">
        <v>28</v>
      </c>
      <c r="Q251" t="s">
        <v>166</v>
      </c>
      <c r="R251" t="s">
        <v>167</v>
      </c>
      <c r="S251" t="s">
        <v>43</v>
      </c>
      <c r="T251" t="s">
        <v>1010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Sheet5</vt:lpstr>
      <vt:lpstr>Sheet6</vt:lpstr>
      <vt:lpstr>Sheet8</vt:lpstr>
      <vt:lpstr>dashboard</vt:lpstr>
      <vt:lpstr>Amazon_cleaned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hanson sinto</dc:creator>
  <cp:lastModifiedBy>hanson sinto</cp:lastModifiedBy>
  <dcterms:created xsi:type="dcterms:W3CDTF">2026-03-03T11:34:08Z</dcterms:created>
  <dcterms:modified xsi:type="dcterms:W3CDTF">2026-03-03T11:34:57Z</dcterms:modified>
</cp:coreProperties>
</file>